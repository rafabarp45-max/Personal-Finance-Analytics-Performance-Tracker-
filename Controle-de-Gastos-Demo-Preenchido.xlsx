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abarp/Desktop/Fechamentos /"/>
    </mc:Choice>
  </mc:AlternateContent>
  <xr:revisionPtr revIDLastSave="0" documentId="8_{43FBA331-015C-1449-B924-5C58F9308628}" xr6:coauthVersionLast="47" xr6:coauthVersionMax="47" xr10:uidLastSave="{00000000-0000-0000-0000-000000000000}"/>
  <bookViews>
    <workbookView xWindow="380" yWindow="700" windowWidth="27640" windowHeight="16240" xr2:uid="{00000000-000D-0000-FFFF-FFFF00000000}"/>
  </bookViews>
  <sheets>
    <sheet name="Fechamentos do ano" sheetId="1" r:id="rId1"/>
    <sheet name="JANEIRO" sheetId="2" r:id="rId2"/>
    <sheet name="FEVEREIRO" sheetId="3" r:id="rId3"/>
    <sheet name="MARÇ0" sheetId="4" r:id="rId4"/>
    <sheet name="ABRIL" sheetId="5" r:id="rId5"/>
    <sheet name="MAIO" sheetId="6" r:id="rId6"/>
    <sheet name="JUNHO" sheetId="7" r:id="rId7"/>
    <sheet name="JULHO" sheetId="8" r:id="rId8"/>
    <sheet name="AGOSTO" sheetId="9" r:id="rId9"/>
    <sheet name="SETEMBRO" sheetId="10" r:id="rId10"/>
    <sheet name="OUTUBRO" sheetId="11" r:id="rId11"/>
    <sheet name="NOVEMBRO" sheetId="12" r:id="rId12"/>
    <sheet name="DEZEMBRO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B20" i="1" s="1"/>
  <c r="E34" i="13"/>
  <c r="E31" i="13"/>
  <c r="D28" i="13"/>
  <c r="C28" i="13"/>
  <c r="I27" i="13"/>
  <c r="H27" i="13"/>
  <c r="E27" i="13"/>
  <c r="J26" i="13"/>
  <c r="E26" i="13"/>
  <c r="J25" i="13"/>
  <c r="E25" i="13"/>
  <c r="E28" i="13" s="1"/>
  <c r="J24" i="13"/>
  <c r="J23" i="13"/>
  <c r="J22" i="13"/>
  <c r="J27" i="13" s="1"/>
  <c r="D22" i="13"/>
  <c r="J31" i="13" s="1"/>
  <c r="J7" i="13" s="1"/>
  <c r="C22" i="13"/>
  <c r="J29" i="13" s="1"/>
  <c r="E21" i="13"/>
  <c r="E20" i="13"/>
  <c r="I19" i="13"/>
  <c r="H19" i="13"/>
  <c r="E19" i="13"/>
  <c r="J18" i="13"/>
  <c r="E18" i="13"/>
  <c r="M17" i="13"/>
  <c r="J17" i="13"/>
  <c r="E17" i="13"/>
  <c r="M16" i="13"/>
  <c r="J16" i="13"/>
  <c r="E16" i="13"/>
  <c r="M15" i="13"/>
  <c r="M21" i="13" s="1"/>
  <c r="J15" i="13"/>
  <c r="J19" i="13" s="1"/>
  <c r="E15" i="13"/>
  <c r="E22" i="13" s="1"/>
  <c r="M14" i="13"/>
  <c r="M13" i="13"/>
  <c r="M12" i="13"/>
  <c r="E11" i="13"/>
  <c r="E7" i="13"/>
  <c r="E34" i="12"/>
  <c r="E31" i="12"/>
  <c r="D28" i="12"/>
  <c r="C28" i="12"/>
  <c r="I27" i="12"/>
  <c r="H27" i="12"/>
  <c r="E27" i="12"/>
  <c r="J26" i="12"/>
  <c r="E26" i="12"/>
  <c r="J25" i="12"/>
  <c r="E25" i="12"/>
  <c r="E28" i="12" s="1"/>
  <c r="J24" i="12"/>
  <c r="J23" i="12"/>
  <c r="J22" i="12"/>
  <c r="J27" i="12" s="1"/>
  <c r="D22" i="12"/>
  <c r="J31" i="12" s="1"/>
  <c r="J7" i="12" s="1"/>
  <c r="C22" i="12"/>
  <c r="J29" i="12" s="1"/>
  <c r="E21" i="12"/>
  <c r="E20" i="12"/>
  <c r="I19" i="12"/>
  <c r="H19" i="12"/>
  <c r="E19" i="12"/>
  <c r="J18" i="12"/>
  <c r="E18" i="12"/>
  <c r="M17" i="12"/>
  <c r="J17" i="12"/>
  <c r="E17" i="12"/>
  <c r="M16" i="12"/>
  <c r="J16" i="12"/>
  <c r="E16" i="12"/>
  <c r="M15" i="12"/>
  <c r="M21" i="12" s="1"/>
  <c r="J15" i="12"/>
  <c r="J19" i="12" s="1"/>
  <c r="E15" i="12"/>
  <c r="E22" i="12" s="1"/>
  <c r="M14" i="12"/>
  <c r="M13" i="12"/>
  <c r="M12" i="12"/>
  <c r="E11" i="12"/>
  <c r="E7" i="12"/>
  <c r="E34" i="11"/>
  <c r="E31" i="11"/>
  <c r="E28" i="11"/>
  <c r="D28" i="11"/>
  <c r="C28" i="11"/>
  <c r="J29" i="11" s="1"/>
  <c r="J27" i="11"/>
  <c r="I27" i="11"/>
  <c r="M17" i="11" s="1"/>
  <c r="H27" i="11"/>
  <c r="E27" i="11"/>
  <c r="J26" i="11"/>
  <c r="E26" i="11"/>
  <c r="J25" i="11"/>
  <c r="E25" i="11"/>
  <c r="J24" i="11"/>
  <c r="J23" i="11"/>
  <c r="J22" i="11"/>
  <c r="D22" i="11"/>
  <c r="C22" i="11"/>
  <c r="E21" i="11"/>
  <c r="E20" i="11"/>
  <c r="I19" i="11"/>
  <c r="H19" i="11"/>
  <c r="E19" i="11"/>
  <c r="J18" i="11"/>
  <c r="E18" i="11"/>
  <c r="J17" i="11"/>
  <c r="E17" i="11"/>
  <c r="M16" i="11"/>
  <c r="J16" i="11"/>
  <c r="E16" i="11"/>
  <c r="M15" i="11"/>
  <c r="M21" i="11" s="1"/>
  <c r="J15" i="11"/>
  <c r="J19" i="11" s="1"/>
  <c r="E15" i="11"/>
  <c r="E22" i="11" s="1"/>
  <c r="M14" i="11"/>
  <c r="M12" i="11"/>
  <c r="E11" i="11"/>
  <c r="E7" i="11"/>
  <c r="E34" i="10"/>
  <c r="E31" i="10"/>
  <c r="D28" i="10"/>
  <c r="C28" i="10"/>
  <c r="I27" i="10"/>
  <c r="H27" i="10"/>
  <c r="E27" i="10"/>
  <c r="J26" i="10"/>
  <c r="E26" i="10"/>
  <c r="J25" i="10"/>
  <c r="E25" i="10"/>
  <c r="E28" i="10" s="1"/>
  <c r="J24" i="10"/>
  <c r="J23" i="10"/>
  <c r="J22" i="10"/>
  <c r="J27" i="10" s="1"/>
  <c r="D22" i="10"/>
  <c r="J31" i="10" s="1"/>
  <c r="J7" i="10" s="1"/>
  <c r="C22" i="10"/>
  <c r="J29" i="10" s="1"/>
  <c r="E21" i="10"/>
  <c r="E20" i="10"/>
  <c r="I19" i="10"/>
  <c r="H19" i="10"/>
  <c r="E19" i="10"/>
  <c r="J18" i="10"/>
  <c r="E18" i="10"/>
  <c r="M17" i="10"/>
  <c r="J17" i="10"/>
  <c r="E17" i="10"/>
  <c r="M16" i="10"/>
  <c r="J16" i="10"/>
  <c r="E16" i="10"/>
  <c r="M15" i="10"/>
  <c r="M21" i="10" s="1"/>
  <c r="J15" i="10"/>
  <c r="J19" i="10" s="1"/>
  <c r="E15" i="10"/>
  <c r="E22" i="10" s="1"/>
  <c r="M14" i="10"/>
  <c r="M13" i="10"/>
  <c r="M12" i="10"/>
  <c r="E11" i="10"/>
  <c r="E7" i="10"/>
  <c r="E34" i="9"/>
  <c r="E31" i="9"/>
  <c r="D28" i="9"/>
  <c r="M13" i="9" s="1"/>
  <c r="C28" i="9"/>
  <c r="I27" i="9"/>
  <c r="M17" i="9" s="1"/>
  <c r="H27" i="9"/>
  <c r="E27" i="9"/>
  <c r="J26" i="9"/>
  <c r="E26" i="9"/>
  <c r="J25" i="9"/>
  <c r="E25" i="9"/>
  <c r="E28" i="9" s="1"/>
  <c r="J24" i="9"/>
  <c r="J23" i="9"/>
  <c r="J22" i="9"/>
  <c r="J27" i="9" s="1"/>
  <c r="E22" i="9"/>
  <c r="D22" i="9"/>
  <c r="C22" i="9"/>
  <c r="J29" i="9" s="1"/>
  <c r="M21" i="9"/>
  <c r="E21" i="9"/>
  <c r="E20" i="9"/>
  <c r="I19" i="9"/>
  <c r="H19" i="9"/>
  <c r="E19" i="9"/>
  <c r="J18" i="9"/>
  <c r="E18" i="9"/>
  <c r="J17" i="9"/>
  <c r="E17" i="9"/>
  <c r="M16" i="9"/>
  <c r="J16" i="9"/>
  <c r="E16" i="9"/>
  <c r="M15" i="9"/>
  <c r="J15" i="9"/>
  <c r="J19" i="9" s="1"/>
  <c r="E15" i="9"/>
  <c r="M14" i="9"/>
  <c r="E11" i="9"/>
  <c r="E7" i="9"/>
  <c r="E34" i="8"/>
  <c r="E31" i="8"/>
  <c r="D28" i="8"/>
  <c r="C28" i="8"/>
  <c r="I27" i="8"/>
  <c r="H27" i="8"/>
  <c r="E27" i="8"/>
  <c r="J26" i="8"/>
  <c r="E26" i="8"/>
  <c r="J25" i="8"/>
  <c r="E25" i="8"/>
  <c r="E28" i="8" s="1"/>
  <c r="J24" i="8"/>
  <c r="J23" i="8"/>
  <c r="J22" i="8"/>
  <c r="J27" i="8" s="1"/>
  <c r="D22" i="8"/>
  <c r="J31" i="8" s="1"/>
  <c r="J7" i="8" s="1"/>
  <c r="C22" i="8"/>
  <c r="J29" i="8" s="1"/>
  <c r="E21" i="8"/>
  <c r="E20" i="8"/>
  <c r="I19" i="8"/>
  <c r="H19" i="8"/>
  <c r="E19" i="8"/>
  <c r="J18" i="8"/>
  <c r="E18" i="8"/>
  <c r="M17" i="8"/>
  <c r="J17" i="8"/>
  <c r="E17" i="8"/>
  <c r="M16" i="8"/>
  <c r="J16" i="8"/>
  <c r="E16" i="8"/>
  <c r="M15" i="8"/>
  <c r="M21" i="8" s="1"/>
  <c r="J15" i="8"/>
  <c r="J19" i="8" s="1"/>
  <c r="E15" i="8"/>
  <c r="E22" i="8" s="1"/>
  <c r="M14" i="8"/>
  <c r="M13" i="8"/>
  <c r="M12" i="8"/>
  <c r="E11" i="8"/>
  <c r="E7" i="8"/>
  <c r="E34" i="7"/>
  <c r="E31" i="7"/>
  <c r="D28" i="7"/>
  <c r="C28" i="7"/>
  <c r="I27" i="7"/>
  <c r="H27" i="7"/>
  <c r="E27" i="7"/>
  <c r="J26" i="7"/>
  <c r="E26" i="7"/>
  <c r="J25" i="7"/>
  <c r="E25" i="7"/>
  <c r="E28" i="7" s="1"/>
  <c r="J24" i="7"/>
  <c r="J23" i="7"/>
  <c r="J22" i="7"/>
  <c r="J27" i="7" s="1"/>
  <c r="D22" i="7"/>
  <c r="J31" i="7" s="1"/>
  <c r="J7" i="7" s="1"/>
  <c r="C22" i="7"/>
  <c r="J29" i="7" s="1"/>
  <c r="E21" i="7"/>
  <c r="E20" i="7"/>
  <c r="I19" i="7"/>
  <c r="H19" i="7"/>
  <c r="E19" i="7"/>
  <c r="J18" i="7"/>
  <c r="E18" i="7"/>
  <c r="M17" i="7"/>
  <c r="J17" i="7"/>
  <c r="E17" i="7"/>
  <c r="M16" i="7"/>
  <c r="J16" i="7"/>
  <c r="E16" i="7"/>
  <c r="M15" i="7"/>
  <c r="M21" i="7" s="1"/>
  <c r="J15" i="7"/>
  <c r="J19" i="7" s="1"/>
  <c r="E15" i="7"/>
  <c r="E22" i="7" s="1"/>
  <c r="M14" i="7"/>
  <c r="M13" i="7"/>
  <c r="M12" i="7"/>
  <c r="E11" i="7"/>
  <c r="E7" i="7"/>
  <c r="E34" i="6"/>
  <c r="E31" i="6"/>
  <c r="D28" i="6"/>
  <c r="C28" i="6"/>
  <c r="I27" i="6"/>
  <c r="H27" i="6"/>
  <c r="E27" i="6"/>
  <c r="J26" i="6"/>
  <c r="E26" i="6"/>
  <c r="J25" i="6"/>
  <c r="E25" i="6"/>
  <c r="E28" i="6" s="1"/>
  <c r="J24" i="6"/>
  <c r="J23" i="6"/>
  <c r="J22" i="6"/>
  <c r="J27" i="6" s="1"/>
  <c r="D22" i="6"/>
  <c r="J31" i="6" s="1"/>
  <c r="J7" i="6" s="1"/>
  <c r="C22" i="6"/>
  <c r="J29" i="6" s="1"/>
  <c r="E21" i="6"/>
  <c r="E20" i="6"/>
  <c r="I19" i="6"/>
  <c r="H19" i="6"/>
  <c r="E19" i="6"/>
  <c r="J18" i="6"/>
  <c r="E18" i="6"/>
  <c r="M17" i="6"/>
  <c r="J17" i="6"/>
  <c r="E17" i="6"/>
  <c r="M16" i="6"/>
  <c r="J16" i="6"/>
  <c r="E16" i="6"/>
  <c r="M15" i="6"/>
  <c r="M21" i="6" s="1"/>
  <c r="J15" i="6"/>
  <c r="J19" i="6" s="1"/>
  <c r="E15" i="6"/>
  <c r="E22" i="6" s="1"/>
  <c r="M14" i="6"/>
  <c r="M13" i="6"/>
  <c r="M12" i="6"/>
  <c r="E11" i="6"/>
  <c r="E7" i="6"/>
  <c r="E34" i="5"/>
  <c r="E31" i="5"/>
  <c r="D28" i="5"/>
  <c r="C28" i="5"/>
  <c r="I27" i="5"/>
  <c r="H27" i="5"/>
  <c r="E27" i="5"/>
  <c r="J26" i="5"/>
  <c r="E26" i="5"/>
  <c r="J25" i="5"/>
  <c r="E25" i="5"/>
  <c r="E28" i="5" s="1"/>
  <c r="J24" i="5"/>
  <c r="J23" i="5"/>
  <c r="J22" i="5"/>
  <c r="J27" i="5" s="1"/>
  <c r="D22" i="5"/>
  <c r="J31" i="5" s="1"/>
  <c r="J7" i="5" s="1"/>
  <c r="C22" i="5"/>
  <c r="J29" i="5" s="1"/>
  <c r="J33" i="5" s="1"/>
  <c r="M21" i="5"/>
  <c r="E21" i="5"/>
  <c r="E20" i="5"/>
  <c r="I19" i="5"/>
  <c r="H19" i="5"/>
  <c r="E19" i="5"/>
  <c r="J18" i="5"/>
  <c r="E18" i="5"/>
  <c r="M17" i="5"/>
  <c r="J17" i="5"/>
  <c r="E17" i="5"/>
  <c r="M16" i="5"/>
  <c r="J16" i="5"/>
  <c r="E16" i="5"/>
  <c r="M15" i="5"/>
  <c r="J15" i="5"/>
  <c r="J19" i="5" s="1"/>
  <c r="E15" i="5"/>
  <c r="E22" i="5" s="1"/>
  <c r="M14" i="5"/>
  <c r="M13" i="5"/>
  <c r="M12" i="5"/>
  <c r="E11" i="5"/>
  <c r="E7" i="5"/>
  <c r="J5" i="5" s="1"/>
  <c r="E34" i="4"/>
  <c r="E31" i="4"/>
  <c r="D28" i="4"/>
  <c r="C28" i="4"/>
  <c r="I27" i="4"/>
  <c r="H27" i="4"/>
  <c r="E27" i="4"/>
  <c r="J26" i="4"/>
  <c r="E26" i="4"/>
  <c r="J25" i="4"/>
  <c r="E25" i="4"/>
  <c r="E28" i="4" s="1"/>
  <c r="J24" i="4"/>
  <c r="J23" i="4"/>
  <c r="J22" i="4"/>
  <c r="J27" i="4" s="1"/>
  <c r="D22" i="4"/>
  <c r="J31" i="4" s="1"/>
  <c r="J7" i="4" s="1"/>
  <c r="C22" i="4"/>
  <c r="J29" i="4" s="1"/>
  <c r="J33" i="4" s="1"/>
  <c r="E21" i="4"/>
  <c r="E20" i="4"/>
  <c r="I19" i="4"/>
  <c r="H19" i="4"/>
  <c r="E19" i="4"/>
  <c r="J18" i="4"/>
  <c r="E18" i="4"/>
  <c r="M17" i="4"/>
  <c r="J17" i="4"/>
  <c r="E17" i="4"/>
  <c r="M16" i="4"/>
  <c r="J16" i="4"/>
  <c r="E16" i="4"/>
  <c r="M15" i="4"/>
  <c r="M21" i="4" s="1"/>
  <c r="J15" i="4"/>
  <c r="J19" i="4" s="1"/>
  <c r="E15" i="4"/>
  <c r="E22" i="4" s="1"/>
  <c r="M14" i="4"/>
  <c r="M13" i="4"/>
  <c r="M12" i="4"/>
  <c r="E11" i="4"/>
  <c r="E7" i="4"/>
  <c r="J5" i="4" s="1"/>
  <c r="E34" i="3"/>
  <c r="E31" i="3"/>
  <c r="D28" i="3"/>
  <c r="C28" i="3"/>
  <c r="I27" i="3"/>
  <c r="H27" i="3"/>
  <c r="E27" i="3"/>
  <c r="J26" i="3"/>
  <c r="E26" i="3"/>
  <c r="J25" i="3"/>
  <c r="E25" i="3"/>
  <c r="E28" i="3" s="1"/>
  <c r="J24" i="3"/>
  <c r="J23" i="3"/>
  <c r="J22" i="3"/>
  <c r="J27" i="3" s="1"/>
  <c r="D22" i="3"/>
  <c r="J31" i="3" s="1"/>
  <c r="C22" i="3"/>
  <c r="J29" i="3" s="1"/>
  <c r="J33" i="3" s="1"/>
  <c r="E21" i="3"/>
  <c r="E20" i="3"/>
  <c r="I19" i="3"/>
  <c r="H19" i="3"/>
  <c r="E19" i="3"/>
  <c r="J18" i="3"/>
  <c r="E18" i="3"/>
  <c r="M17" i="3"/>
  <c r="J17" i="3"/>
  <c r="E17" i="3"/>
  <c r="M16" i="3"/>
  <c r="J16" i="3"/>
  <c r="E16" i="3"/>
  <c r="M15" i="3"/>
  <c r="M21" i="3" s="1"/>
  <c r="J15" i="3"/>
  <c r="J19" i="3" s="1"/>
  <c r="E15" i="3"/>
  <c r="E22" i="3" s="1"/>
  <c r="M14" i="3"/>
  <c r="M13" i="3"/>
  <c r="M12" i="3"/>
  <c r="E11" i="3"/>
  <c r="J7" i="3" s="1"/>
  <c r="E7" i="3"/>
  <c r="J5" i="3" s="1"/>
  <c r="E34" i="2"/>
  <c r="E31" i="2"/>
  <c r="D28" i="2"/>
  <c r="C28" i="2"/>
  <c r="I27" i="2"/>
  <c r="H27" i="2"/>
  <c r="E27" i="2"/>
  <c r="J26" i="2"/>
  <c r="E26" i="2"/>
  <c r="J25" i="2"/>
  <c r="E25" i="2"/>
  <c r="E28" i="2" s="1"/>
  <c r="J24" i="2"/>
  <c r="J23" i="2"/>
  <c r="J22" i="2"/>
  <c r="J27" i="2" s="1"/>
  <c r="D22" i="2"/>
  <c r="J31" i="2" s="1"/>
  <c r="J7" i="2" s="1"/>
  <c r="C22" i="2"/>
  <c r="J29" i="2" s="1"/>
  <c r="E21" i="2"/>
  <c r="E20" i="2"/>
  <c r="I19" i="2"/>
  <c r="H19" i="2"/>
  <c r="E19" i="2"/>
  <c r="J18" i="2"/>
  <c r="E18" i="2"/>
  <c r="M17" i="2"/>
  <c r="J17" i="2"/>
  <c r="E17" i="2"/>
  <c r="M16" i="2"/>
  <c r="J16" i="2"/>
  <c r="E16" i="2"/>
  <c r="M15" i="2"/>
  <c r="M21" i="2" s="1"/>
  <c r="J15" i="2"/>
  <c r="J19" i="2" s="1"/>
  <c r="E15" i="2"/>
  <c r="E22" i="2" s="1"/>
  <c r="M14" i="2"/>
  <c r="M13" i="2"/>
  <c r="M12" i="2"/>
  <c r="E11" i="2"/>
  <c r="E7" i="2"/>
  <c r="J5" i="2" s="1"/>
  <c r="L19" i="1"/>
  <c r="K19" i="1"/>
  <c r="R16" i="1"/>
  <c r="P16" i="1"/>
  <c r="P18" i="1" s="1"/>
  <c r="M12" i="1"/>
  <c r="M11" i="1"/>
  <c r="M10" i="1"/>
  <c r="M9" i="1"/>
  <c r="M8" i="1"/>
  <c r="K21" i="1" s="1"/>
  <c r="B19" i="1" l="1"/>
  <c r="J33" i="13"/>
  <c r="J5" i="13"/>
  <c r="J9" i="13" s="1"/>
  <c r="B18" i="1"/>
  <c r="J33" i="12"/>
  <c r="J5" i="12"/>
  <c r="J9" i="12" s="1"/>
  <c r="M13" i="11"/>
  <c r="J31" i="11"/>
  <c r="J5" i="11"/>
  <c r="B16" i="1"/>
  <c r="J33" i="10"/>
  <c r="J5" i="10"/>
  <c r="J9" i="10" s="1"/>
  <c r="J31" i="9"/>
  <c r="M12" i="9"/>
  <c r="J5" i="9"/>
  <c r="B14" i="1"/>
  <c r="J33" i="8"/>
  <c r="J5" i="8"/>
  <c r="J9" i="8" s="1"/>
  <c r="B13" i="1"/>
  <c r="J33" i="7"/>
  <c r="J5" i="7"/>
  <c r="J9" i="7" s="1"/>
  <c r="B12" i="1"/>
  <c r="J33" i="6"/>
  <c r="J5" i="6"/>
  <c r="J9" i="6" s="1"/>
  <c r="J9" i="5"/>
  <c r="B11" i="1"/>
  <c r="J9" i="4"/>
  <c r="B10" i="1"/>
  <c r="J9" i="3"/>
  <c r="B9" i="1"/>
  <c r="J9" i="2"/>
  <c r="B8" i="1"/>
  <c r="J33" i="2"/>
  <c r="J7" i="11" l="1"/>
  <c r="J33" i="11"/>
  <c r="J7" i="9"/>
  <c r="J33" i="9"/>
  <c r="B17" i="1" l="1"/>
  <c r="J9" i="11"/>
  <c r="B15" i="1"/>
  <c r="J9" i="9"/>
</calcChain>
</file>

<file path=xl/sharedStrings.xml><?xml version="1.0" encoding="utf-8"?>
<sst xmlns="http://schemas.openxmlformats.org/spreadsheetml/2006/main" count="970" uniqueCount="85">
  <si>
    <t xml:space="preserve">Fechamentos Mensais </t>
  </si>
  <si>
    <t>Gastos Extras</t>
  </si>
  <si>
    <t>Reserva de Emergencia</t>
  </si>
  <si>
    <t>Caixinha Revolut</t>
  </si>
  <si>
    <t>Renda Fixa Brasil</t>
  </si>
  <si>
    <t>Envios Brasil</t>
  </si>
  <si>
    <t>Data</t>
  </si>
  <si>
    <t>Valor Euros</t>
  </si>
  <si>
    <t>Valor Reais</t>
  </si>
  <si>
    <t>Cotaçao-Taxas</t>
  </si>
  <si>
    <t>Tirados da reserva</t>
  </si>
  <si>
    <t>Janeiro</t>
  </si>
  <si>
    <t>Removido</t>
  </si>
  <si>
    <t>Recolocados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</si>
  <si>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</si>
  <si>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</si>
  <si>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</si>
  <si>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</si>
  <si>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</si>
  <si>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</si>
  <si>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</si>
  <si>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</si>
  <si>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Total</t>
  </si>
  <si>
    <t>Outubro</t>
  </si>
  <si>
    <t>Novembro</t>
  </si>
  <si>
    <t>A Recolocar</t>
  </si>
  <si>
    <t>Dezembro</t>
  </si>
  <si>
    <t>Total:</t>
  </si>
  <si>
    <t>Cotaçao media</t>
  </si>
  <si>
    <t>ORÇAMENTO PESSOAL MENSAL</t>
  </si>
  <si>
    <t>RENDA MENSAL PREVISTA</t>
  </si>
  <si>
    <t>Salario</t>
  </si>
  <si>
    <t>SALDO PREVISTO</t>
  </si>
  <si>
    <t>Entradas</t>
  </si>
  <si>
    <t>(renda menos custo previso)</t>
  </si>
  <si>
    <t>Renda Mensal Total</t>
  </si>
  <si>
    <t>SALDO REAL</t>
  </si>
  <si>
    <t>(renda menos custo real)</t>
  </si>
  <si>
    <t>RENDA MENSAL REAL</t>
  </si>
  <si>
    <t>DIFERENÇA</t>
  </si>
  <si>
    <t>(real menos previsto)</t>
  </si>
  <si>
    <t>Tipo de Gasto</t>
  </si>
  <si>
    <t>Total Real</t>
  </si>
  <si>
    <t>GASTOS FIXOS</t>
  </si>
  <si>
    <t>TRANSPORTE</t>
  </si>
  <si>
    <t>Custo Previsto</t>
  </si>
  <si>
    <t>Custo Real</t>
  </si>
  <si>
    <t>Diferença</t>
  </si>
  <si>
    <t>ENTRETENIMENTO</t>
  </si>
  <si>
    <t>MERCADO</t>
  </si>
  <si>
    <t>Aluguel</t>
  </si>
  <si>
    <t>Gastos pessoais</t>
  </si>
  <si>
    <t>BRASIL</t>
  </si>
  <si>
    <t>Telefone</t>
  </si>
  <si>
    <t>Lazer</t>
  </si>
  <si>
    <t>Conta de Luz</t>
  </si>
  <si>
    <t>Outros</t>
  </si>
  <si>
    <t>INVESTIMENTOS</t>
  </si>
  <si>
    <t>Conta Conjunta Ananada</t>
  </si>
  <si>
    <t>Presentes (quando tiver)</t>
  </si>
  <si>
    <t>Internet</t>
  </si>
  <si>
    <t>Subtotal</t>
  </si>
  <si>
    <t>Academia</t>
  </si>
  <si>
    <t>Tipo de gasto</t>
  </si>
  <si>
    <t>Valor(€)</t>
  </si>
  <si>
    <t>Apple</t>
  </si>
  <si>
    <t>POUPANÇAS OU INVESTIMENTOS</t>
  </si>
  <si>
    <t>Custo previsto</t>
  </si>
  <si>
    <t>Binance</t>
  </si>
  <si>
    <t>IBKR</t>
  </si>
  <si>
    <t>Doação</t>
  </si>
  <si>
    <t>Onibus</t>
  </si>
  <si>
    <t>Apartamento (euro)</t>
  </si>
  <si>
    <t>Taxi</t>
  </si>
  <si>
    <t>Reserva de emergencia (min)</t>
  </si>
  <si>
    <t>CUSTO TOTAL PREVISTO</t>
  </si>
  <si>
    <t>MERCADO/DELIVERY</t>
  </si>
  <si>
    <t>Mercadpo/Delivery</t>
  </si>
  <si>
    <t>CUSTO TOTAL REAL</t>
  </si>
  <si>
    <t>ENVIOS PARA O BRASIL</t>
  </si>
  <si>
    <t>DIFERENÇA TOTAL</t>
  </si>
  <si>
    <t>Envios para o Brasil</t>
  </si>
  <si>
    <t>Carro</t>
  </si>
  <si>
    <t>Medico</t>
  </si>
  <si>
    <t>Fechamentos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</si>
</sst>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€&quot;* #,##0.00_);_(&quot;€&quot;* \(#,##0.00\);_(&quot;€&quot;* &quot;-&quot;??_);_(@_)"/>
    <numFmt numFmtId="164" formatCode="_([$€-2]\ * #,##0.00_);_([$€-2]\ * \(#,##0.00\);_([$€-2]\ * &quot;-&quot;??_);_(@_)"/>
    <numFmt numFmtId="165" formatCode="_-[$R$-416]\ * #,##0.00_-;\-[$R$-416]\ * #,##0.00_-;_-[$R$-416]\ * &quot;-&quot;??_-;_-@_-"/>
    <numFmt numFmtId="166" formatCode="_-[$€-2]\ * #,##0.00_-;\-[$€-2]\ * #,##0.00_-;_-[$€-2]\ * &quot;-&quot;??_-;_-@_-"/>
    <numFmt numFmtId="167" formatCode="&quot;€&quot;#,##0.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68"/>
      <color theme="1"/>
      <name val="Arial"/>
      <family val="2"/>
    </font>
    <font>
      <b/>
      <sz val="12"/>
      <color theme="1"/>
      <name val="Aptos Narrow"/>
      <scheme val="minor"/>
    </font>
    <font>
      <sz val="22"/>
      <color theme="1"/>
      <name val="Century Gothic"/>
      <family val="1"/>
    </font>
    <font>
      <sz val="12"/>
      <color theme="1"/>
      <name val="Century Gothic"/>
      <family val="1"/>
    </font>
    <font>
      <sz val="12"/>
      <color theme="0"/>
      <name val="Century Gothic"/>
      <family val="1"/>
    </font>
    <font>
      <b/>
      <sz val="12"/>
      <color theme="1"/>
      <name val="Century Gothic"/>
      <family val="1"/>
    </font>
    <font>
      <b/>
      <sz val="10"/>
      <color theme="0"/>
      <name val="Century Gothic"/>
      <family val="1"/>
    </font>
    <font>
      <sz val="16"/>
      <color theme="1"/>
      <name val="Century Gothic"/>
      <family val="1"/>
    </font>
    <font>
      <sz val="12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4816F"/>
        <bgColor indexed="64"/>
      </patternFill>
    </fill>
    <fill>
      <patternFill patternType="solid">
        <fgColor rgb="FF14816F"/>
        <bgColor theme="4" tint="-0.49998474074526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4816F"/>
      </left>
      <right style="thin">
        <color rgb="FF14816F"/>
      </right>
      <top style="thin">
        <color rgb="FF14816F"/>
      </top>
      <bottom style="thin">
        <color rgb="FF14816F"/>
      </bottom>
      <diagonal/>
    </border>
    <border>
      <left style="thin">
        <color rgb="FF14816F"/>
      </left>
      <right style="thin">
        <color indexed="64"/>
      </right>
      <top style="thin">
        <color rgb="FF14816F"/>
      </top>
      <bottom style="thin">
        <color indexed="64"/>
      </bottom>
      <diagonal/>
    </border>
    <border>
      <left style="thin">
        <color rgb="FF14816F"/>
      </left>
      <right style="thin">
        <color indexed="64"/>
      </right>
      <top style="thin">
        <color indexed="64"/>
      </top>
      <bottom style="thin">
        <color rgb="FF14816F"/>
      </bottom>
      <diagonal/>
    </border>
    <border>
      <left style="thin">
        <color rgb="FF14816F"/>
      </left>
      <right style="thin">
        <color rgb="FF14816F"/>
      </right>
      <top style="thin">
        <color rgb="FF14816F"/>
      </top>
      <bottom style="double">
        <color rgb="FF14816F"/>
      </bottom>
      <diagonal/>
    </border>
    <border>
      <left style="thin">
        <color rgb="FF14816F"/>
      </left>
      <right style="thin">
        <color rgb="FF14816F"/>
      </right>
      <top/>
      <bottom style="thin">
        <color rgb="FF14816F"/>
      </bottom>
      <diagonal/>
    </border>
    <border>
      <left style="thin">
        <color rgb="FF14816F"/>
      </left>
      <right style="thin">
        <color rgb="FF14816F"/>
      </right>
      <top style="thin">
        <color rgb="FF14816F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rgb="FF14816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rgb="FF14816F"/>
      </top>
      <bottom style="thin">
        <color indexed="64"/>
      </bottom>
      <diagonal/>
    </border>
    <border>
      <left/>
      <right style="thin">
        <color indexed="64"/>
      </right>
      <top style="thin">
        <color rgb="FF14816F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14816F"/>
      </bottom>
      <diagonal/>
    </border>
    <border>
      <left/>
      <right style="thin">
        <color indexed="64"/>
      </right>
      <top style="thin">
        <color indexed="64"/>
      </top>
      <bottom style="thin">
        <color rgb="FF14816F"/>
      </bottom>
      <diagonal/>
    </border>
  </borders>
  <cellStyleXfs count="2">
    <xf numFmtId="0" fontId="0" fillId="0" borderId="0"/>
    <xf numFmtId="44" fontId="1" fillId="0" borderId="0"/>
  </cellStyleXfs>
  <cellXfs count="90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9" borderId="1" xfId="0" applyFont="1" applyFill="1" applyBorder="1"/>
    <xf numFmtId="164" fontId="0" fillId="8" borderId="1" xfId="0" applyNumberFormat="1" applyFill="1" applyBorder="1"/>
    <xf numFmtId="164" fontId="0" fillId="0" borderId="1" xfId="0" applyNumberFormat="1" applyBorder="1"/>
    <xf numFmtId="164" fontId="0" fillId="8" borderId="1" xfId="1" applyNumberFormat="1" applyFont="1" applyFill="1" applyBorder="1"/>
    <xf numFmtId="164" fontId="0" fillId="0" borderId="1" xfId="1" applyNumberFormat="1" applyFont="1" applyBorder="1"/>
    <xf numFmtId="165" fontId="0" fillId="0" borderId="1" xfId="0" applyNumberFormat="1" applyBorder="1"/>
    <xf numFmtId="0" fontId="4" fillId="0" borderId="0" xfId="0" applyFont="1"/>
    <xf numFmtId="164" fontId="5" fillId="0" borderId="1" xfId="0" applyNumberFormat="1" applyFont="1" applyBorder="1"/>
    <xf numFmtId="44" fontId="0" fillId="0" borderId="1" xfId="1" applyFont="1" applyBorder="1"/>
    <xf numFmtId="44" fontId="5" fillId="0" borderId="1" xfId="1" applyFont="1" applyBorder="1"/>
    <xf numFmtId="0" fontId="5" fillId="0" borderId="0" xfId="0" applyFont="1"/>
    <xf numFmtId="0" fontId="6" fillId="12" borderId="11" xfId="0" applyFont="1" applyFill="1" applyBorder="1"/>
    <xf numFmtId="0" fontId="5" fillId="0" borderId="11" xfId="0" applyFont="1" applyBorder="1"/>
    <xf numFmtId="44" fontId="5" fillId="0" borderId="11" xfId="1" applyFont="1" applyBorder="1"/>
    <xf numFmtId="44" fontId="7" fillId="0" borderId="11" xfId="1" applyFont="1" applyBorder="1"/>
    <xf numFmtId="0" fontId="5" fillId="0" borderId="14" xfId="0" applyFont="1" applyBorder="1"/>
    <xf numFmtId="44" fontId="5" fillId="0" borderId="14" xfId="1" applyFont="1" applyBorder="1"/>
    <xf numFmtId="0" fontId="7" fillId="0" borderId="15" xfId="0" applyFont="1" applyBorder="1"/>
    <xf numFmtId="44" fontId="5" fillId="0" borderId="15" xfId="0" applyNumberFormat="1" applyFont="1" applyBorder="1"/>
    <xf numFmtId="0" fontId="5" fillId="0" borderId="16" xfId="0" applyFont="1" applyBorder="1"/>
    <xf numFmtId="44" fontId="5" fillId="0" borderId="16" xfId="1" applyFont="1" applyBorder="1"/>
    <xf numFmtId="44" fontId="7" fillId="0" borderId="16" xfId="1" applyFont="1" applyBorder="1"/>
    <xf numFmtId="44" fontId="7" fillId="0" borderId="14" xfId="1" applyFont="1" applyBorder="1"/>
    <xf numFmtId="166" fontId="8" fillId="13" borderId="11" xfId="0" applyNumberFormat="1" applyFont="1" applyFill="1" applyBorder="1"/>
    <xf numFmtId="166" fontId="5" fillId="0" borderId="15" xfId="0" applyNumberFormat="1" applyFont="1" applyBorder="1"/>
    <xf numFmtId="0" fontId="4" fillId="0" borderId="18" xfId="0" applyFont="1" applyBorder="1"/>
    <xf numFmtId="0" fontId="5" fillId="0" borderId="18" xfId="0" applyFont="1" applyBorder="1"/>
    <xf numFmtId="44" fontId="7" fillId="0" borderId="15" xfId="0" applyNumberFormat="1" applyFont="1" applyBorder="1"/>
    <xf numFmtId="166" fontId="7" fillId="0" borderId="15" xfId="0" applyNumberFormat="1" applyFont="1" applyBorder="1"/>
    <xf numFmtId="166" fontId="5" fillId="8" borderId="11" xfId="0" applyNumberFormat="1" applyFont="1" applyFill="1" applyBorder="1"/>
    <xf numFmtId="166" fontId="7" fillId="8" borderId="11" xfId="0" applyNumberFormat="1" applyFont="1" applyFill="1" applyBorder="1"/>
    <xf numFmtId="166" fontId="5" fillId="0" borderId="11" xfId="0" applyNumberFormat="1" applyFont="1" applyBorder="1"/>
    <xf numFmtId="166" fontId="5" fillId="0" borderId="14" xfId="0" applyNumberFormat="1" applyFont="1" applyBorder="1"/>
    <xf numFmtId="166" fontId="7" fillId="8" borderId="14" xfId="0" applyNumberFormat="1" applyFont="1" applyFill="1" applyBorder="1"/>
    <xf numFmtId="44" fontId="5" fillId="0" borderId="11" xfId="0" applyNumberFormat="1" applyFont="1" applyBorder="1"/>
    <xf numFmtId="14" fontId="0" fillId="0" borderId="1" xfId="0" applyNumberFormat="1" applyBorder="1"/>
    <xf numFmtId="0" fontId="3" fillId="11" borderId="9" xfId="0" applyFont="1" applyFill="1" applyBorder="1"/>
    <xf numFmtId="165" fontId="0" fillId="0" borderId="9" xfId="0" applyNumberFormat="1" applyBorder="1"/>
    <xf numFmtId="2" fontId="0" fillId="0" borderId="1" xfId="0" applyNumberFormat="1" applyBorder="1"/>
    <xf numFmtId="0" fontId="0" fillId="15" borderId="1" xfId="0" applyFill="1" applyBorder="1"/>
    <xf numFmtId="0" fontId="0" fillId="16" borderId="1" xfId="0" applyFill="1" applyBorder="1"/>
    <xf numFmtId="164" fontId="0" fillId="16" borderId="1" xfId="0" applyNumberFormat="1" applyFill="1" applyBorder="1"/>
    <xf numFmtId="44" fontId="0" fillId="15" borderId="1" xfId="0" applyNumberFormat="1" applyFill="1" applyBorder="1"/>
    <xf numFmtId="0" fontId="3" fillId="10" borderId="1" xfId="0" applyFont="1" applyFill="1" applyBorder="1" applyAlignment="1">
      <alignment horizontal="center"/>
    </xf>
    <xf numFmtId="0" fontId="0" fillId="0" borderId="20" xfId="0" applyBorder="1"/>
    <xf numFmtId="0" fontId="0" fillId="0" borderId="10" xfId="0" applyBorder="1"/>
    <xf numFmtId="0" fontId="3" fillId="5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/>
    </xf>
    <xf numFmtId="0" fontId="0" fillId="0" borderId="19" xfId="0" applyBorder="1"/>
    <xf numFmtId="0" fontId="3" fillId="7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7" xfId="0" applyBorder="1"/>
    <xf numFmtId="0" fontId="3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30" xfId="0" applyBorder="1"/>
    <xf numFmtId="0" fontId="0" fillId="0" borderId="31" xfId="0" applyBorder="1"/>
    <xf numFmtId="44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21" xfId="0" applyBorder="1"/>
    <xf numFmtId="0" fontId="9" fillId="0" borderId="17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0" borderId="12" xfId="0" applyFont="1" applyBorder="1" applyAlignment="1">
      <alignment horizontal="left"/>
    </xf>
    <xf numFmtId="0" fontId="0" fillId="0" borderId="28" xfId="0" applyBorder="1"/>
    <xf numFmtId="0" fontId="0" fillId="0" borderId="29" xfId="0" applyBorder="1"/>
    <xf numFmtId="44" fontId="7" fillId="0" borderId="17" xfId="0" applyNumberFormat="1" applyFont="1" applyBorder="1" applyAlignment="1">
      <alignment horizontal="left" vertical="center"/>
    </xf>
    <xf numFmtId="0" fontId="0" fillId="0" borderId="27" xfId="0" applyBorder="1"/>
    <xf numFmtId="44" fontId="5" fillId="0" borderId="10" xfId="1" applyFont="1" applyBorder="1" applyAlignment="1">
      <alignment horizontal="left" vertical="center"/>
    </xf>
    <xf numFmtId="0" fontId="5" fillId="0" borderId="19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14" borderId="1" xfId="0" applyFill="1" applyBorder="1"/>
    <xf numFmtId="167" fontId="0" fillId="0" borderId="1" xfId="0" applyNumberFormat="1" applyBorder="1"/>
    <xf numFmtId="44" fontId="10" fillId="0" borderId="1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strRef>
              <c:f>'Fechamentos do ano'!$A$8:$A$19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'Fechamentos do ano'!$B$8:$B$19</c:f>
              <c:numCache>
                <c:formatCode>_([$€-2]\ * #,##0.00_);_([$€-2]\ * \(#,##0.00\);_([$€-2]\ * "-"??_);_(@_)</c:formatCode>
                <c:ptCount val="12"/>
                <c:pt idx="0">
                  <c:v>701.95000000000027</c:v>
                </c:pt>
                <c:pt idx="1">
                  <c:v>389.87000000000012</c:v>
                </c:pt>
                <c:pt idx="2">
                  <c:v>492.48</c:v>
                </c:pt>
                <c:pt idx="3">
                  <c:v>654.13000000000011</c:v>
                </c:pt>
                <c:pt idx="4">
                  <c:v>370.67000000000007</c:v>
                </c:pt>
                <c:pt idx="5">
                  <c:v>501.77</c:v>
                </c:pt>
                <c:pt idx="6">
                  <c:v>489.18000000000006</c:v>
                </c:pt>
                <c:pt idx="7">
                  <c:v>106.5</c:v>
                </c:pt>
                <c:pt idx="8">
                  <c:v>394.00999999999976</c:v>
                </c:pt>
                <c:pt idx="9">
                  <c:v>107.25000000000023</c:v>
                </c:pt>
                <c:pt idx="10">
                  <c:v>589.19000000000005</c:v>
                </c:pt>
                <c:pt idx="11">
                  <c:v>167.02999999999997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F-0043-8362-5D9B1DACF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8531008"/>
        <c:axId val="592350272"/>
      </c:barChart>
      <c:catAx>
        <c:axId val="7085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50272"/>
        <c:crosses val="autoZero"/>
        <c:auto val="1"/>
        <c:lblAlgn val="ctr"/>
        <c:lblOffset val="100"/>
        <c:noMultiLvlLbl val="0"/>
      </c:catAx>
      <c:valAx>
        <c:axId val="5923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31008"/>
        <c:crosses val="autoZero"/>
        <c:crossBetween val="between"/>
      </c:valAx>
    </c:plotArea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JANEIRO!$L$12:$L$17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JANEIRO!$M$12:$M$17</c:f>
              <c:numCache>
                <c:formatCode>_("€"* #,##0.00_);_("€"* \(#,##0.00\);_("€"* "-"??_);_(@_)</c:formatCode>
                <c:ptCount val="6"/>
                <c:pt idx="0">
                  <c:v>758.54</c:v>
                </c:pt>
                <c:pt idx="1">
                  <c:v>65.319999999999993</c:v>
                </c:pt>
                <c:pt idx="2">
                  <c:v>243.55</c:v>
                </c:pt>
                <c:pt idx="3">
                  <c:v>0</c:v>
                </c:pt>
                <c:pt idx="4">
                  <c:v>240.64</c:v>
                </c:pt>
                <c:pt idx="5" formatCode="_-[$€-2]\ * #,##0.00_-;\-[$€-2]\ * #,##0.00_-;_-[$€-2]\ * &quot;-&quot;??_-;_-@_-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4-534A-86D7-2FBD4627C0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A9-3044-AABD-B2CC3BBD63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A9-3044-AABD-B2CC3BBD63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A9-3044-AABD-B2CC3BBD63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A9-3044-AABD-B2CC3BBD63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A9-3044-AABD-B2CC3BBD63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A9-3044-AABD-B2CC3BBD636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JANEIRO!$L$12:$L$17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JANEIRO!$M$12:$M$17</c:f>
              <c:numCache>
                <c:formatCode>_("€"* #,##0.00_);_("€"* \(#,##0.00\);_("€"* "-"??_);_(@_)</c:formatCode>
                <c:ptCount val="6"/>
                <c:pt idx="0">
                  <c:v>758.54</c:v>
                </c:pt>
                <c:pt idx="1">
                  <c:v>65.319999999999993</c:v>
                </c:pt>
                <c:pt idx="2">
                  <c:v>243.55</c:v>
                </c:pt>
                <c:pt idx="3">
                  <c:v>0</c:v>
                </c:pt>
                <c:pt idx="4">
                  <c:v>240.64</c:v>
                </c:pt>
                <c:pt idx="5" formatCode="_-[$€-2]\ * #,##0.00_-;\-[$€-2]\ * #,##0.00_-;_-[$€-2]\ * &quot;-&quot;??_-;_-@_-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A9-3044-AABD-B2CC3BBD63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FEVEREIRO!$L$12:$L$17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FEVEREIRO!$M$12:$M$17</c:f>
              <c:numCache>
                <c:formatCode>_("€"* #,##0.00_);_("€"* \(#,##0.00\);_("€"* "-"??_);_(@_)</c:formatCode>
                <c:ptCount val="6"/>
                <c:pt idx="0">
                  <c:v>760.48</c:v>
                </c:pt>
                <c:pt idx="1">
                  <c:v>88.67</c:v>
                </c:pt>
                <c:pt idx="2">
                  <c:v>235.51</c:v>
                </c:pt>
                <c:pt idx="3">
                  <c:v>290.76</c:v>
                </c:pt>
                <c:pt idx="4">
                  <c:v>174.71</c:v>
                </c:pt>
                <c:pt idx="5" formatCode="_-[$€-2]\ * #,##0.00_-;\-[$€-2]\ * #,##0.00_-;_-[$€-2]\ * &quot;-&quot;??_-;_-@_-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B-0343-9798-87C5860AAB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DE-E64B-845D-733C4B7BA1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DE-E64B-845D-733C4B7BA1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DE-E64B-845D-733C4B7BA1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DE-E64B-845D-733C4B7BA1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6DE-E64B-845D-733C4B7BA1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6DE-E64B-845D-733C4B7BA1C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FEVEREIRO!$L$12:$L$17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FEVEREIRO!$M$12:$M$17</c:f>
              <c:numCache>
                <c:formatCode>_("€"* #,##0.00_);_("€"* \(#,##0.00\);_("€"* "-"??_);_(@_)</c:formatCode>
                <c:ptCount val="6"/>
                <c:pt idx="0">
                  <c:v>760.48</c:v>
                </c:pt>
                <c:pt idx="1">
                  <c:v>88.67</c:v>
                </c:pt>
                <c:pt idx="2">
                  <c:v>235.51</c:v>
                </c:pt>
                <c:pt idx="3">
                  <c:v>290.76</c:v>
                </c:pt>
                <c:pt idx="4">
                  <c:v>174.71</c:v>
                </c:pt>
                <c:pt idx="5" formatCode="_-[$€-2]\ * #,##0.00_-;\-[$€-2]\ * #,##0.00_-;_-[$€-2]\ * &quot;-&quot;??_-;_-@_-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DE-E64B-845D-733C4B7BA1C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MARÇ0!$L$12:$L$17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MARÇ0!$M$12:$M$17</c:f>
              <c:numCache>
                <c:formatCode>_("€"* #,##0.00_);_("€"* \(#,##0.00\);_("€"* "-"??_);_(@_)</c:formatCode>
                <c:ptCount val="6"/>
                <c:pt idx="0">
                  <c:v>765.49</c:v>
                </c:pt>
                <c:pt idx="1">
                  <c:v>135.19999999999999</c:v>
                </c:pt>
                <c:pt idx="2">
                  <c:v>229.8</c:v>
                </c:pt>
                <c:pt idx="3">
                  <c:v>0</c:v>
                </c:pt>
                <c:pt idx="4">
                  <c:v>217.03</c:v>
                </c:pt>
                <c:pt idx="5" formatCode="_-[$€-2]\ * #,##0.00_-;\-[$€-2]\ * #,##0.00_-;_-[$€-2]\ * &quot;-&quot;??_-;_-@_-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E448-BDB3-84A8C192D5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65-5641-ADDE-F92614E1AE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65-5641-ADDE-F92614E1AE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65-5641-ADDE-F92614E1AE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65-5641-ADDE-F92614E1AE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865-5641-ADDE-F92614E1AE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865-5641-ADDE-F92614E1AEE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MARÇ0!$L$12:$L$17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MARÇ0!$M$12:$M$17</c:f>
              <c:numCache>
                <c:formatCode>_("€"* #,##0.00_);_("€"* \(#,##0.00\);_("€"* "-"??_);_(@_)</c:formatCode>
                <c:ptCount val="6"/>
                <c:pt idx="0">
                  <c:v>765.49</c:v>
                </c:pt>
                <c:pt idx="1">
                  <c:v>135.19999999999999</c:v>
                </c:pt>
                <c:pt idx="2">
                  <c:v>229.8</c:v>
                </c:pt>
                <c:pt idx="3">
                  <c:v>0</c:v>
                </c:pt>
                <c:pt idx="4">
                  <c:v>217.03</c:v>
                </c:pt>
                <c:pt idx="5" formatCode="_-[$€-2]\ * #,##0.00_-;\-[$€-2]\ * #,##0.00_-;_-[$€-2]\ * &quot;-&quot;??_-;_-@_-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65-5641-ADDE-F92614E1AEE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ABRIL!$L$12:$L$17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ABRIL!$M$12:$M$17</c:f>
              <c:numCache>
                <c:formatCode>_("€"* #,##0.00_);_("€"* \(#,##0.00\);_("€"* "-"??_);_(@_)</c:formatCode>
                <c:ptCount val="6"/>
                <c:pt idx="0">
                  <c:v>755.99</c:v>
                </c:pt>
                <c:pt idx="1">
                  <c:v>80.77</c:v>
                </c:pt>
                <c:pt idx="2">
                  <c:v>300.79000000000002</c:v>
                </c:pt>
                <c:pt idx="3">
                  <c:v>0</c:v>
                </c:pt>
                <c:pt idx="4">
                  <c:v>188.32</c:v>
                </c:pt>
                <c:pt idx="5" formatCode="_-[$€-2]\ * #,##0.00_-;\-[$€-2]\ * #,##0.00_-;_-[$€-2]\ * &quot;-&quot;??_-;_-@_-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E-E247-8F85-258E42AC4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B9-024A-B79E-1EDE10C4F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B9-024A-B79E-1EDE10C4F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B9-024A-B79E-1EDE10C4F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B9-024A-B79E-1EDE10C4F1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BB9-024A-B79E-1EDE10C4F1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BB9-024A-B79E-1EDE10C4F15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ABRIL!$L$12:$L$17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ABRIL!$M$12:$M$17</c:f>
              <c:numCache>
                <c:formatCode>_("€"* #,##0.00_);_("€"* \(#,##0.00\);_("€"* "-"??_);_(@_)</c:formatCode>
                <c:ptCount val="6"/>
                <c:pt idx="0">
                  <c:v>755.99</c:v>
                </c:pt>
                <c:pt idx="1">
                  <c:v>80.77</c:v>
                </c:pt>
                <c:pt idx="2">
                  <c:v>300.79000000000002</c:v>
                </c:pt>
                <c:pt idx="3">
                  <c:v>0</c:v>
                </c:pt>
                <c:pt idx="4">
                  <c:v>188.32</c:v>
                </c:pt>
                <c:pt idx="5" formatCode="_-[$€-2]\ * #,##0.00_-;\-[$€-2]\ * #,##0.00_-;_-[$€-2]\ * &quot;-&quot;??_-;_-@_-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B9-024A-B79E-1EDE10C4F1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MAIO!$L$12:$L$17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MAIO!$M$12:$M$17</c:f>
              <c:numCache>
                <c:formatCode>_("€"* #,##0.00_);_("€"* \(#,##0.00\);_("€"* "-"??_);_(@_)</c:formatCode>
                <c:ptCount val="6"/>
                <c:pt idx="0">
                  <c:v>762.31</c:v>
                </c:pt>
                <c:pt idx="1">
                  <c:v>105.86</c:v>
                </c:pt>
                <c:pt idx="2">
                  <c:v>229.99</c:v>
                </c:pt>
                <c:pt idx="3">
                  <c:v>310</c:v>
                </c:pt>
                <c:pt idx="4">
                  <c:v>181.17</c:v>
                </c:pt>
                <c:pt idx="5" formatCode="_-[$€-2]\ * #,##0.00_-;\-[$€-2]\ * #,##0.00_-;_-[$€-2]\ * &quot;-&quot;??_-;_-@_-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2D4B-907C-CCDBB95AFD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FB-6F4C-87BC-49D4FD7123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FB-6F4C-87BC-49D4FD7123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FB-6F4C-87BC-49D4FD7123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FB-6F4C-87BC-49D4FD7123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DFB-6F4C-87BC-49D4FD7123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DFB-6F4C-87BC-49D4FD7123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MAIO!$L$12:$L$17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MAIO!$M$12:$M$17</c:f>
              <c:numCache>
                <c:formatCode>_("€"* #,##0.00_);_("€"* \(#,##0.00\);_("€"* "-"??_);_(@_)</c:formatCode>
                <c:ptCount val="6"/>
                <c:pt idx="0">
                  <c:v>762.31</c:v>
                </c:pt>
                <c:pt idx="1">
                  <c:v>105.86</c:v>
                </c:pt>
                <c:pt idx="2">
                  <c:v>229.99</c:v>
                </c:pt>
                <c:pt idx="3">
                  <c:v>310</c:v>
                </c:pt>
                <c:pt idx="4">
                  <c:v>181.17</c:v>
                </c:pt>
                <c:pt idx="5" formatCode="_-[$€-2]\ * #,##0.00_-;\-[$€-2]\ * #,##0.00_-;_-[$€-2]\ * &quot;-&quot;??_-;_-@_-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FB-6F4C-87BC-49D4FD7123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JUNHO!$L$12:$L$17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JUNHO!$M$12:$M$17</c:f>
              <c:numCache>
                <c:formatCode>_("€"* #,##0.00_);_("€"* \(#,##0.00\);_("€"* "-"??_);_(@_)</c:formatCode>
                <c:ptCount val="6"/>
                <c:pt idx="0">
                  <c:v>770.53</c:v>
                </c:pt>
                <c:pt idx="1">
                  <c:v>86.34</c:v>
                </c:pt>
                <c:pt idx="2">
                  <c:v>232.82</c:v>
                </c:pt>
                <c:pt idx="3">
                  <c:v>0</c:v>
                </c:pt>
                <c:pt idx="4">
                  <c:v>268.54000000000002</c:v>
                </c:pt>
                <c:pt idx="5" formatCode="_-[$€-2]\ * #,##0.00_-;\-[$€-2]\ * #,##0.00_-;_-[$€-2]\ * &quot;-&quot;??_-;_-@_-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F-4E48-BE5A-1F09AA57C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37-B940-8790-F0609989B3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37-B940-8790-F0609989B3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37-B940-8790-F0609989B3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C37-B940-8790-F0609989B3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C37-B940-8790-F0609989B3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C37-B940-8790-F0609989B33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JUNHO!$L$12:$L$17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JUNHO!$M$12:$M$17</c:f>
              <c:numCache>
                <c:formatCode>_("€"* #,##0.00_);_("€"* \(#,##0.00\);_("€"* "-"??_);_(@_)</c:formatCode>
                <c:ptCount val="6"/>
                <c:pt idx="0">
                  <c:v>770.53</c:v>
                </c:pt>
                <c:pt idx="1">
                  <c:v>86.34</c:v>
                </c:pt>
                <c:pt idx="2">
                  <c:v>232.82</c:v>
                </c:pt>
                <c:pt idx="3">
                  <c:v>0</c:v>
                </c:pt>
                <c:pt idx="4">
                  <c:v>268.54000000000002</c:v>
                </c:pt>
                <c:pt idx="5" formatCode="_-[$€-2]\ * #,##0.00_-;\-[$€-2]\ * #,##0.00_-;_-[$€-2]\ * &quot;-&quot;??_-;_-@_-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37-B940-8790-F0609989B33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JULHO!$L$12:$L$17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JULHO!$M$12:$M$17</c:f>
              <c:numCache>
                <c:formatCode>_("€"* #,##0.00_);_("€"* \(#,##0.00\);_("€"* "-"??_);_(@_)</c:formatCode>
                <c:ptCount val="6"/>
                <c:pt idx="0">
                  <c:v>778.15</c:v>
                </c:pt>
                <c:pt idx="1">
                  <c:v>106.68</c:v>
                </c:pt>
                <c:pt idx="2">
                  <c:v>293.52999999999997</c:v>
                </c:pt>
                <c:pt idx="3">
                  <c:v>0</c:v>
                </c:pt>
                <c:pt idx="4">
                  <c:v>212.46</c:v>
                </c:pt>
                <c:pt idx="5" formatCode="_-[$€-2]\ * #,##0.00_-;\-[$€-2]\ * #,##0.00_-;_-[$€-2]\ * &quot;-&quot;??_-;_-@_-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F-A24D-8CBF-FFE53CCABF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90-D447-B03F-FF59E625D4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90-D447-B03F-FF59E625D4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90-D447-B03F-FF59E625D4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90-D447-B03F-FF59E625D4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90-D447-B03F-FF59E625D4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890-D447-B03F-FF59E625D46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JULHO!$L$12:$L$17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JULHO!$M$12:$M$17</c:f>
              <c:numCache>
                <c:formatCode>_("€"* #,##0.00_);_("€"* \(#,##0.00\);_("€"* "-"??_);_(@_)</c:formatCode>
                <c:ptCount val="6"/>
                <c:pt idx="0">
                  <c:v>778.15</c:v>
                </c:pt>
                <c:pt idx="1">
                  <c:v>106.68</c:v>
                </c:pt>
                <c:pt idx="2">
                  <c:v>293.52999999999997</c:v>
                </c:pt>
                <c:pt idx="3">
                  <c:v>0</c:v>
                </c:pt>
                <c:pt idx="4">
                  <c:v>212.46</c:v>
                </c:pt>
                <c:pt idx="5" formatCode="_-[$€-2]\ * #,##0.00_-;\-[$€-2]\ * #,##0.00_-;_-[$€-2]\ * &quot;-&quot;??_-;_-@_-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90-D447-B03F-FF59E625D4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AGOSTO!$L$12:$L$17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AGOSTO!$M$12:$M$17</c:f>
              <c:numCache>
                <c:formatCode>_("€"* #,##0.00_);_("€"* \(#,##0.00\);_("€"* "-"??_);_(@_)</c:formatCode>
                <c:ptCount val="6"/>
                <c:pt idx="0">
                  <c:v>773.78</c:v>
                </c:pt>
                <c:pt idx="1">
                  <c:v>140.44999999999999</c:v>
                </c:pt>
                <c:pt idx="2">
                  <c:v>267.02</c:v>
                </c:pt>
                <c:pt idx="3">
                  <c:v>296.95</c:v>
                </c:pt>
                <c:pt idx="4">
                  <c:v>145.30000000000001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D-6945-8C5A-F795E61F1B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2E-2B4B-B6FC-FEB4EB1E2C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2E-2B4B-B6FC-FEB4EB1E2C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2E-2B4B-B6FC-FEB4EB1E2C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2E-2B4B-B6FC-FEB4EB1E2C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2E-2B4B-B6FC-FEB4EB1E2C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E2E-2B4B-B6FC-FEB4EB1E2CF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AGOSTO!$L$12:$L$17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AGOSTO!$M$12:$M$17</c:f>
              <c:numCache>
                <c:formatCode>_("€"* #,##0.00_);_("€"* \(#,##0.00\);_("€"* "-"??_);_(@_)</c:formatCode>
                <c:ptCount val="6"/>
                <c:pt idx="0">
                  <c:v>773.78</c:v>
                </c:pt>
                <c:pt idx="1">
                  <c:v>140.44999999999999</c:v>
                </c:pt>
                <c:pt idx="2">
                  <c:v>267.02</c:v>
                </c:pt>
                <c:pt idx="3">
                  <c:v>296.95</c:v>
                </c:pt>
                <c:pt idx="4">
                  <c:v>145.30000000000001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2E-2B4B-B6FC-FEB4EB1E2CF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SETEMBRO!$L$12:$L$17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SETEMBRO!$M$12:$M$17</c:f>
              <c:numCache>
                <c:formatCode>_("€"* #,##0.00_);_("€"* \(#,##0.00\);_("€"* "-"??_);_(@_)</c:formatCode>
                <c:ptCount val="6"/>
                <c:pt idx="0">
                  <c:v>754.35</c:v>
                </c:pt>
                <c:pt idx="1">
                  <c:v>106.75</c:v>
                </c:pt>
                <c:pt idx="2">
                  <c:v>307.99</c:v>
                </c:pt>
                <c:pt idx="3">
                  <c:v>0</c:v>
                </c:pt>
                <c:pt idx="4">
                  <c:v>216.9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1-8544-9655-77A570E75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8D-DD4B-8732-C17E912E19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8D-DD4B-8732-C17E912E19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8D-DD4B-8732-C17E912E19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8D-DD4B-8732-C17E912E19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48D-DD4B-8732-C17E912E19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48D-DD4B-8732-C17E912E19A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SETEMBRO!$L$12:$L$17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SETEMBRO!$M$12:$M$17</c:f>
              <c:numCache>
                <c:formatCode>_("€"* #,##0.00_);_("€"* \(#,##0.00\);_("€"* "-"??_);_(@_)</c:formatCode>
                <c:ptCount val="6"/>
                <c:pt idx="0">
                  <c:v>754.35</c:v>
                </c:pt>
                <c:pt idx="1">
                  <c:v>106.75</c:v>
                </c:pt>
                <c:pt idx="2">
                  <c:v>307.99</c:v>
                </c:pt>
                <c:pt idx="3">
                  <c:v>0</c:v>
                </c:pt>
                <c:pt idx="4">
                  <c:v>216.9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8D-DD4B-8732-C17E912E19A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OUTUBRO!$L$12:$L$17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OUTUBRO!$M$12:$M$17</c:f>
              <c:numCache>
                <c:formatCode>_("€"* #,##0.00_);_("€"* \(#,##0.00\);_("€"* "-"??_);_(@_)</c:formatCode>
                <c:ptCount val="6"/>
                <c:pt idx="0">
                  <c:v>765.65</c:v>
                </c:pt>
                <c:pt idx="1">
                  <c:v>87.42</c:v>
                </c:pt>
                <c:pt idx="2">
                  <c:v>224.82</c:v>
                </c:pt>
                <c:pt idx="3">
                  <c:v>289.04000000000002</c:v>
                </c:pt>
                <c:pt idx="4">
                  <c:v>265.82</c:v>
                </c:pt>
                <c:pt idx="5" formatCode="_-[$€-2]\ * #,##0.00_-;\-[$€-2]\ * #,##0.00_-;_-[$€-2]\ * &quot;-&quot;??_-;_-@_-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A-A548-89E5-B8F834580D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B7-5E40-AB72-8FA3021CBC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B7-5E40-AB72-8FA3021CBC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B7-5E40-AB72-8FA3021CBC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EB7-5E40-AB72-8FA3021CBC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EB7-5E40-AB72-8FA3021CBC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EB7-5E40-AB72-8FA3021CBCF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OUTUBRO!$L$12:$L$17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OUTUBRO!$M$12:$M$17</c:f>
              <c:numCache>
                <c:formatCode>_("€"* #,##0.00_);_("€"* \(#,##0.00\);_("€"* "-"??_);_(@_)</c:formatCode>
                <c:ptCount val="6"/>
                <c:pt idx="0">
                  <c:v>765.65</c:v>
                </c:pt>
                <c:pt idx="1">
                  <c:v>87.42</c:v>
                </c:pt>
                <c:pt idx="2">
                  <c:v>224.82</c:v>
                </c:pt>
                <c:pt idx="3">
                  <c:v>289.04000000000002</c:v>
                </c:pt>
                <c:pt idx="4">
                  <c:v>265.82</c:v>
                </c:pt>
                <c:pt idx="5" formatCode="_-[$€-2]\ * #,##0.00_-;\-[$€-2]\ * #,##0.00_-;_-[$€-2]\ * &quot;-&quot;??_-;_-@_-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EB7-5E40-AB72-8FA3021CBCF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NOVEMBRO!$L$12:$L$17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NOVEMBRO!$M$12:$M$17</c:f>
              <c:numCache>
                <c:formatCode>_("€"* #,##0.00_);_("€"* \(#,##0.00\);_("€"* "-"??_);_(@_)</c:formatCode>
                <c:ptCount val="6"/>
                <c:pt idx="0">
                  <c:v>776.82999999999993</c:v>
                </c:pt>
                <c:pt idx="1">
                  <c:v>130.41</c:v>
                </c:pt>
                <c:pt idx="2">
                  <c:v>225.47</c:v>
                </c:pt>
                <c:pt idx="3">
                  <c:v>0</c:v>
                </c:pt>
                <c:pt idx="4">
                  <c:v>158.10000000000002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D-8D4B-BFBB-453197D809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83-974A-A068-4686A4700A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83-974A-A068-4686A4700A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83-974A-A068-4686A4700A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83-974A-A068-4686A4700A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E83-974A-A068-4686A4700A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E83-974A-A068-4686A4700A0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NOVEMBRO!$L$12:$L$17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NOVEMBRO!$M$12:$M$17</c:f>
              <c:numCache>
                <c:formatCode>_("€"* #,##0.00_);_("€"* \(#,##0.00\);_("€"* "-"??_);_(@_)</c:formatCode>
                <c:ptCount val="6"/>
                <c:pt idx="0">
                  <c:v>776.82999999999993</c:v>
                </c:pt>
                <c:pt idx="1">
                  <c:v>130.41</c:v>
                </c:pt>
                <c:pt idx="2">
                  <c:v>225.47</c:v>
                </c:pt>
                <c:pt idx="3">
                  <c:v>0</c:v>
                </c:pt>
                <c:pt idx="4">
                  <c:v>158.10000000000002</c:v>
                </c:pt>
                <c:pt idx="5" formatCode="_-[$€-2]\ * #,##0.00_-;\-[$€-2]\ * #,##0.00_-;_-[$€-2]\ * &quot;-&quot;??_-;_-@_-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83-974A-A068-4686A4700A0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DEZEMBRO!$L$12:$L$17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DEZEMBRO!$M$12:$M$17</c:f>
              <c:numCache>
                <c:formatCode>_("€"* #,##0.00_);_("€"* \(#,##0.00\);_("€"* "-"??_);_(@_)</c:formatCode>
                <c:ptCount val="6"/>
                <c:pt idx="0">
                  <c:v>756.7600000000001</c:v>
                </c:pt>
                <c:pt idx="1">
                  <c:v>108.67</c:v>
                </c:pt>
                <c:pt idx="2">
                  <c:v>308.72000000000003</c:v>
                </c:pt>
                <c:pt idx="3">
                  <c:v>310</c:v>
                </c:pt>
                <c:pt idx="4">
                  <c:v>128.82</c:v>
                </c:pt>
                <c:pt idx="5" formatCode="_-[$€-2]\ * #,##0.00_-;\-[$€-2]\ * #,##0.00_-;_-[$€-2]\ * &quot;-&quot;??_-;_-@_-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3-2642-847A-1609CF8D1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632250688"/>
        <c:axId val="629734272"/>
      </c:barChart>
      <c:catAx>
        <c:axId val="632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34272"/>
        <c:crosses val="autoZero"/>
        <c:auto val="1"/>
        <c:lblAlgn val="ctr"/>
        <c:lblOffset val="100"/>
        <c:noMultiLvlLbl val="0"/>
      </c:catAx>
      <c:valAx>
        <c:axId val="62973427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50688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I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A4-C74E-B2BF-1E18C0C15B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A4-C74E-B2BF-1E18C0C15B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A4-C74E-B2BF-1E18C0C15B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A4-C74E-B2BF-1E18C0C15B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A4-C74E-B2BF-1E18C0C15B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BA4-C74E-B2BF-1E18C0C15B6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DEZEMBRO!$L$12:$L$17</c:f>
              <c:strCache>
                <c:ptCount val="6"/>
                <c:pt idx="0">
                  <c:v>GASTOS FIXOS</c:v>
                </c:pt>
                <c:pt idx="1">
                  <c:v>TRANSPORTE</c:v>
                </c:pt>
                <c:pt idx="2">
                  <c:v>MERCADO</c:v>
                </c:pt>
                <c:pt idx="3">
                  <c:v>BRASIL</c:v>
                </c:pt>
                <c:pt idx="4">
                  <c:v>ENTRETENIMENTO</c:v>
                </c:pt>
                <c:pt idx="5">
                  <c:v>INVESTIMENTOS</c:v>
                </c:pt>
              </c:strCache>
            </c:strRef>
          </c:cat>
          <c:val>
            <c:numRef>
              <c:f>DEZEMBRO!$M$12:$M$17</c:f>
              <c:numCache>
                <c:formatCode>_("€"* #,##0.00_);_("€"* \(#,##0.00\);_("€"* "-"??_);_(@_)</c:formatCode>
                <c:ptCount val="6"/>
                <c:pt idx="0">
                  <c:v>756.7600000000001</c:v>
                </c:pt>
                <c:pt idx="1">
                  <c:v>108.67</c:v>
                </c:pt>
                <c:pt idx="2">
                  <c:v>308.72000000000003</c:v>
                </c:pt>
                <c:pt idx="3">
                  <c:v>310</c:v>
                </c:pt>
                <c:pt idx="4">
                  <c:v>128.82</c:v>
                </c:pt>
                <c:pt idx="5" formatCode="_-[$€-2]\ * #,##0.00_-;\-[$€-2]\ * #,##0.00_-;_-[$€-2]\ * &quot;-&quot;??_-;_-@_-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A4-C74E-B2BF-1E18C0C15B6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22</xdr:row>
      <xdr:rowOff>12700</xdr:rowOff>
    </xdr:from>
    <xdr:to>
      <xdr:col>18</xdr:col>
      <xdr:colOff>25400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35</xdr:row>
      <xdr:rowOff>12700</xdr:rowOff>
    </xdr:from>
    <xdr:to>
      <xdr:col>7</xdr:col>
      <xdr:colOff>38100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35</xdr:row>
      <xdr:rowOff>25400</xdr:rowOff>
    </xdr:from>
    <xdr:to>
      <xdr:col>12</xdr:col>
      <xdr:colOff>1117600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1"/>
  <sheetViews>
    <sheetView tabSelected="1" workbookViewId="0">
      <selection activeCell="L13" sqref="L13"/>
    </sheetView>
  </sheetViews>
  <sheetFormatPr baseColWidth="10" defaultRowHeight="16" x14ac:dyDescent="0.2"/>
  <cols>
    <col min="1" max="1" width="11.6640625" customWidth="1"/>
    <col min="2" max="2" width="12.33203125" customWidth="1"/>
    <col min="3" max="4" width="12.6640625" customWidth="1"/>
    <col min="8" max="8" width="12.1640625" customWidth="1"/>
    <col min="10" max="10" width="11.83203125" customWidth="1"/>
    <col min="11" max="11" width="13.6640625" customWidth="1"/>
    <col min="12" max="12" width="13.33203125" customWidth="1"/>
    <col min="13" max="13" width="13.6640625" customWidth="1"/>
  </cols>
  <sheetData>
    <row r="1" spans="1:18" x14ac:dyDescent="0.2">
      <c r="A1" s="58" t="s">
        <v>84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1"/>
    </row>
    <row r="2" spans="1:18" x14ac:dyDescent="0.2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1:18" x14ac:dyDescent="0.2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1:18" x14ac:dyDescent="0.2">
      <c r="A4" s="5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53"/>
    </row>
    <row r="6" spans="1:18" x14ac:dyDescent="0.2">
      <c r="A6" s="54" t="s">
        <v>0</v>
      </c>
      <c r="B6" s="51"/>
      <c r="C6" s="50" t="s">
        <v>1</v>
      </c>
      <c r="D6" s="51"/>
      <c r="F6" s="64" t="s">
        <v>2</v>
      </c>
      <c r="G6" s="55" t="s">
        <v>3</v>
      </c>
      <c r="H6" s="57" t="s">
        <v>4</v>
      </c>
      <c r="J6" s="47" t="s">
        <v>5</v>
      </c>
      <c r="K6" s="48"/>
      <c r="L6" s="49"/>
    </row>
    <row r="7" spans="1:18" x14ac:dyDescent="0.2">
      <c r="A7" s="52"/>
      <c r="B7" s="53"/>
      <c r="C7" s="52"/>
      <c r="D7" s="53"/>
      <c r="F7" s="56"/>
      <c r="G7" s="56"/>
      <c r="H7" s="56"/>
      <c r="J7" s="1" t="s">
        <v>6</v>
      </c>
      <c r="K7" s="3" t="s">
        <v>7</v>
      </c>
      <c r="L7" s="40" t="s">
        <v>8</v>
      </c>
      <c r="M7" s="2" t="s">
        <v>9</v>
      </c>
      <c r="O7" s="85" t="s">
        <v>10</v>
      </c>
      <c r="P7" s="86"/>
      <c r="Q7" s="86"/>
    </row>
    <row r="8" spans="1:18" x14ac:dyDescent="0.2">
      <c r="A8" s="3" t="s">
        <v>11</v>
      </c>
      <c r="B8" s="5">
        <f>JANEIRO!J7</f>
        <v>701.95000000000027</v>
      </c>
      <c r="C8" s="2" t="s">
        <v>82</v>
      </c>
      <c r="D8" s="7">
        <v>-908</v>
      </c>
      <c r="F8" s="6">
        <v>1500</v>
      </c>
      <c r="G8" s="6">
        <v>250</v>
      </c>
      <c r="H8" s="9">
        <v>5000</v>
      </c>
      <c r="J8" s="39">
        <v>45330</v>
      </c>
      <c r="K8" s="89">
        <v>290.76</v>
      </c>
      <c r="L8" s="41">
        <v>1851.78</v>
      </c>
      <c r="M8" s="88">
        <f>L8/K8</f>
        <v>6.3687577383409</v>
      </c>
      <c r="O8" s="87" t="s">
        <v>12</v>
      </c>
      <c r="P8" s="2"/>
      <c r="Q8" s="43" t="s">
        <v>13</v>
      </c>
    </row>
    <row r="9" spans="1:18" x14ac:dyDescent="0.2">
      <c r="A9" s="3" t="s">
        <v>14</v>
      </c>
      <c r="B9" s="5">
        <f>FEVEREIRO!J7</f>
        <v>389.87000000000012</v>
      </c>
      <c r="C9" s="2" t="s">
        <v>83</v>
      </c>
      <c r="D9" s="7">
        <v>-480</v>
      </c>
      <c r="F9" s="6">
        <v>1580</v>
      </c>
      <c r="G9" s="6">
        <v>300</v>
      </c>
      <c r="H9" s="9"/>
      <c r="J9" s="39">
        <v>45420</v>
      </c>
      <c r="K9" s="89">
        <v>310</v>
      </c>
      <c r="L9" s="41">
        <v>1965.86</v>
      </c>
      <c r="M9" s="88">
        <f>L9/K9</f>
        <v>6.3414838709677417</v>
      </c>
      <c r="O9" s="6"/>
      <c r="P9" s="2"/>
      <c r="Q9" s="12"/>
    </row>
    <row r="10" spans="1:18" x14ac:dyDescent="0.2">
      <c r="A10" s="3" t="s">
        <v>15</v>
      </c>
      <c r="B10" s="5">
        <f>MARÇ0!J7</f>
        <v>492.48</v>
      </c>
      <c r="C10" s="2"/>
      <c r="D10" s="7"/>
      <c r="F10" s="6">
        <v>1660</v>
      </c>
      <c r="G10" s="6">
        <v>380</v>
      </c>
      <c r="H10" s="9">
        <v>5200</v>
      </c>
      <c r="J10" s="39">
        <v>45506</v>
      </c>
      <c r="K10" s="6">
        <v>296.95</v>
      </c>
      <c r="L10" s="41">
        <v>1876.98</v>
      </c>
      <c r="M10" s="88">
        <f>L10/K10</f>
        <v>6.3208620979962964</v>
      </c>
      <c r="O10" s="6"/>
      <c r="P10" s="2"/>
      <c r="Q10" s="12"/>
    </row>
    <row r="11" spans="1:18" x14ac:dyDescent="0.2">
      <c r="A11" s="3" t="s">
        <v>16</v>
      </c>
      <c r="B11" s="5">
        <f>ABRIL!J7</f>
        <v>654.13000000000011</v>
      </c>
      <c r="C11" s="2"/>
      <c r="D11" s="7"/>
      <c r="F11" s="6">
        <v>1740</v>
      </c>
      <c r="G11" s="6">
        <v>430</v>
      </c>
      <c r="H11" s="9"/>
      <c r="J11" s="39">
        <v>45570</v>
      </c>
      <c r="K11" s="6">
        <v>289.04000000000002</v>
      </c>
      <c r="L11" s="41">
        <v>1900.65</v>
      </c>
      <c r="M11" s="88">
        <f>L11/K11</f>
        <v>6.5757334624965402</v>
      </c>
      <c r="O11" s="6"/>
      <c r="P11" s="2"/>
      <c r="Q11" s="12"/>
    </row>
    <row r="12" spans="1:18" x14ac:dyDescent="0.2">
      <c r="A12" s="3" t="s">
        <v>17</v>
      </c>
      <c r="B12" s="5">
        <f>MAIO!J7</f>
        <v>370.67000000000007</v>
      </c>
      <c r="C12" s="2"/>
      <c r="D12" s="7"/>
      <c r="F12" s="6">
        <v>1820</v>
      </c>
      <c r="G12" s="6">
        <v>510</v>
      </c>
      <c r="H12" s="9"/>
      <c r="J12" s="39">
        <v>45630</v>
      </c>
      <c r="K12" s="6">
        <v>310</v>
      </c>
      <c r="L12" s="41">
        <v>1987.23</v>
      </c>
      <c r="M12" s="88">
        <f>L12/K12</f>
        <v>6.4104193548387096</v>
      </c>
      <c r="O12" s="6"/>
      <c r="P12" s="2"/>
      <c r="Q12" s="12"/>
    </row>
    <row r="13" spans="1:18" x14ac:dyDescent="0.2">
      <c r="A13" s="3" t="s">
        <v>18</v>
      </c>
      <c r="B13" s="5">
        <f>JUNHO!J7</f>
        <v>501.77</v>
      </c>
      <c r="C13" s="2"/>
      <c r="D13" s="7"/>
      <c r="F13" s="6">
        <v>1900</v>
      </c>
      <c r="G13" s="6">
        <v>590</v>
      </c>
      <c r="H13" s="9">
        <v>5400</v>
      </c>
      <c r="J13" s="2"/>
      <c r="K13" s="6"/>
      <c r="L13" s="41"/>
      <c r="M13" s="2"/>
      <c r="O13" s="6"/>
      <c r="P13" s="2"/>
      <c r="Q13" s="12"/>
    </row>
    <row r="14" spans="1:18" x14ac:dyDescent="0.2">
      <c r="A14" s="3" t="s">
        <v>19</v>
      </c>
      <c r="B14" s="5">
        <f>JULHO!J7</f>
        <v>489.18000000000006</v>
      </c>
      <c r="C14" s="2"/>
      <c r="D14" s="8"/>
      <c r="F14" s="6">
        <v>1980</v>
      </c>
      <c r="G14" s="6">
        <v>640</v>
      </c>
      <c r="H14" s="9"/>
      <c r="J14" s="2"/>
      <c r="K14" s="6"/>
      <c r="L14" s="41"/>
      <c r="M14" s="2"/>
      <c r="O14" s="6"/>
      <c r="P14" s="2"/>
      <c r="Q14" s="12"/>
    </row>
    <row r="15" spans="1:18" x14ac:dyDescent="0.2">
      <c r="A15" s="3" t="s">
        <v>20</v>
      </c>
      <c r="B15" s="5">
        <f>AGOSTO!J7</f>
        <v>106.5</v>
      </c>
      <c r="C15" s="2"/>
      <c r="D15" s="8"/>
      <c r="F15" s="6">
        <v>2060</v>
      </c>
      <c r="G15" s="6">
        <v>720</v>
      </c>
      <c r="H15" s="9"/>
      <c r="J15" s="2"/>
      <c r="K15" s="6"/>
      <c r="L15" s="41"/>
      <c r="M15" s="2"/>
      <c r="O15" s="6"/>
      <c r="P15" s="2"/>
      <c r="Q15" s="12"/>
    </row>
    <row r="16" spans="1:18" x14ac:dyDescent="0.2">
      <c r="A16" s="3" t="s">
        <v>21</v>
      </c>
      <c r="B16" s="5">
        <f>SETEMBRO!J7</f>
        <v>394.00999999999976</v>
      </c>
      <c r="C16" s="2"/>
      <c r="D16" s="8"/>
      <c r="F16" s="6">
        <v>2140</v>
      </c>
      <c r="G16" s="6">
        <v>770</v>
      </c>
      <c r="H16" s="9">
        <v>5600</v>
      </c>
      <c r="J16" s="2"/>
      <c r="K16" s="6"/>
      <c r="L16" s="41"/>
      <c r="M16" s="2"/>
      <c r="O16" s="44" t="s">
        <v>22</v>
      </c>
      <c r="P16" s="45">
        <f>SUM(O9:O15)</f>
        <v>0</v>
      </c>
      <c r="Q16" s="43" t="s">
        <v>22</v>
      </c>
      <c r="R16" s="46">
        <f>SUM(Q9:Q15)</f>
        <v>0</v>
      </c>
    </row>
    <row r="17" spans="1:16" x14ac:dyDescent="0.2">
      <c r="A17" s="3" t="s">
        <v>23</v>
      </c>
      <c r="B17" s="6">
        <f>OUTUBRO!J7</f>
        <v>107.25000000000023</v>
      </c>
      <c r="C17" s="2"/>
      <c r="D17" s="8"/>
      <c r="F17" s="6">
        <v>2220</v>
      </c>
      <c r="G17" s="6">
        <v>850</v>
      </c>
      <c r="H17" s="9"/>
      <c r="J17" s="2"/>
      <c r="K17" s="6"/>
      <c r="L17" s="41"/>
      <c r="M17" s="2"/>
    </row>
    <row r="18" spans="1:16" x14ac:dyDescent="0.2">
      <c r="A18" s="3" t="s">
        <v>24</v>
      </c>
      <c r="B18" s="6">
        <f>NOVEMBRO!J7</f>
        <v>589.19000000000005</v>
      </c>
      <c r="C18" s="2"/>
      <c r="D18" s="8"/>
      <c r="F18" s="6">
        <v>2300</v>
      </c>
      <c r="G18" s="6">
        <v>900</v>
      </c>
      <c r="H18" s="9"/>
      <c r="J18" s="2"/>
      <c r="K18" s="6"/>
      <c r="L18" s="41"/>
      <c r="M18" s="2"/>
      <c r="O18" s="2" t="s">
        <v>25</v>
      </c>
      <c r="P18" s="6">
        <f>(P16-R16)</f>
        <v>0</v>
      </c>
    </row>
    <row r="19" spans="1:16" x14ac:dyDescent="0.2">
      <c r="A19" s="3" t="s">
        <v>26</v>
      </c>
      <c r="B19" s="6">
        <f>DEZEMBRO!J7</f>
        <v>167.02999999999997</v>
      </c>
      <c r="C19" s="2"/>
      <c r="D19" s="8">
        <f>SUM(D8:D18)</f>
        <v>-1388</v>
      </c>
      <c r="F19" s="6">
        <v>2400</v>
      </c>
      <c r="G19" s="6">
        <v>1000</v>
      </c>
      <c r="H19" s="2">
        <v>5850</v>
      </c>
      <c r="J19" s="1" t="s">
        <v>27</v>
      </c>
      <c r="K19" s="6">
        <f>SUM(K8:K18)</f>
        <v>1496.75</v>
      </c>
      <c r="L19" s="41">
        <f>SUM(L8:L18)</f>
        <v>9582.5</v>
      </c>
      <c r="M19" s="2"/>
    </row>
    <row r="20" spans="1:16" x14ac:dyDescent="0.2">
      <c r="A20" s="4" t="s">
        <v>27</v>
      </c>
      <c r="B20" s="6">
        <f>SUM(B8:D8:D19)</f>
        <v>2188.0300000000007</v>
      </c>
    </row>
    <row r="21" spans="1:16" x14ac:dyDescent="0.2">
      <c r="J21" s="2" t="s">
        <v>28</v>
      </c>
      <c r="K21" s="42">
        <f>MEDIAN(M8:M18)</f>
        <v>6.3687577383409</v>
      </c>
    </row>
  </sheetData>
  <mergeCells count="8">
    <mergeCell ref="O7:Q7"/>
    <mergeCell ref="A1:Q4"/>
    <mergeCell ref="F6:F7"/>
    <mergeCell ref="J6:L6"/>
    <mergeCell ref="C6:D7"/>
    <mergeCell ref="A6:B7"/>
    <mergeCell ref="G6:G7"/>
    <mergeCell ref="H6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M34"/>
  <sheetViews>
    <sheetView topLeftCell="A3" workbookViewId="0">
      <selection activeCell="E9" sqref="E9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701.95000000000027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569.44000000000028</v>
      </c>
    </row>
    <row r="10" spans="1:13" x14ac:dyDescent="0.2">
      <c r="B10" s="71"/>
      <c r="C10" s="65" t="s">
        <v>33</v>
      </c>
      <c r="D10" s="49"/>
      <c r="E10" s="13">
        <v>200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2300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758.54</v>
      </c>
    </row>
    <row r="13" spans="1:13" x14ac:dyDescent="0.2">
      <c r="L13" s="16" t="s">
        <v>44</v>
      </c>
      <c r="M13" s="38">
        <f>D28</f>
        <v>65.319999999999993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243.55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50.73</v>
      </c>
      <c r="J15" s="18">
        <f>H15-I15</f>
        <v>19.270000000000003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19.27</v>
      </c>
      <c r="E16" s="18">
        <f t="shared" si="0"/>
        <v>0.73000000000000043</v>
      </c>
      <c r="G16" s="16" t="s">
        <v>54</v>
      </c>
      <c r="H16" s="17">
        <v>70</v>
      </c>
      <c r="I16" s="17">
        <v>69.91</v>
      </c>
      <c r="J16" s="18">
        <f>H16-I16</f>
        <v>9.0000000000003411E-2</v>
      </c>
      <c r="L16" s="16" t="s">
        <v>48</v>
      </c>
      <c r="M16" s="38">
        <f>I19</f>
        <v>240.64</v>
      </c>
    </row>
    <row r="17" spans="2:13" x14ac:dyDescent="0.2">
      <c r="B17" s="16" t="s">
        <v>55</v>
      </c>
      <c r="C17" s="17">
        <v>50</v>
      </c>
      <c r="D17" s="17">
        <v>41.78</v>
      </c>
      <c r="E17" s="18">
        <f t="shared" si="0"/>
        <v>8.2199999999999989</v>
      </c>
      <c r="G17" s="16" t="s">
        <v>56</v>
      </c>
      <c r="H17" s="17">
        <v>0</v>
      </c>
      <c r="I17" s="17">
        <v>45</v>
      </c>
      <c r="J17" s="18">
        <f>H17-I17</f>
        <v>-45</v>
      </c>
      <c r="L17" s="16" t="s">
        <v>57</v>
      </c>
      <c r="M17" s="35">
        <f>I27</f>
        <v>290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75</v>
      </c>
      <c r="J18" s="18">
        <f>H18-I18</f>
        <v>-75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240.64</v>
      </c>
      <c r="J19" s="31">
        <f>SUM(J15:J18)</f>
        <v>-100.63999999999999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758.54</v>
      </c>
      <c r="E22" s="31">
        <f>SUM(E15:E21)</f>
        <v>8.9499999999999993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0</v>
      </c>
      <c r="J23" s="34">
        <f>H23-I23</f>
        <v>130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65.319999999999993</v>
      </c>
      <c r="E25" s="18">
        <f>C25-D25</f>
        <v>14.680000000000007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0</v>
      </c>
      <c r="E26" s="18">
        <f>C26-D26</f>
        <v>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290</v>
      </c>
      <c r="J27" s="32">
        <f>SUM(J22:J26)</f>
        <v>130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65.319999999999993</v>
      </c>
      <c r="E28" s="31">
        <f>SUM(E25:E27)</f>
        <v>14.680000000000007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243.55</v>
      </c>
      <c r="E31" s="18">
        <f>C31-D31</f>
        <v>6.4499999999999886</v>
      </c>
      <c r="G31" s="72" t="s">
        <v>78</v>
      </c>
      <c r="H31" s="73"/>
      <c r="I31" s="74"/>
      <c r="J31" s="81">
        <f>SUM(D22+D28+D31+D34+I27+I19)</f>
        <v>1598.0499999999997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369.44000000000028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M34"/>
  <sheetViews>
    <sheetView topLeftCell="A2" workbookViewId="0">
      <selection activeCell="D34" sqref="D34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389.87000000000012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257.36000000000013</v>
      </c>
    </row>
    <row r="10" spans="1:13" x14ac:dyDescent="0.2">
      <c r="B10" s="71"/>
      <c r="C10" s="65" t="s">
        <v>33</v>
      </c>
      <c r="D10" s="49"/>
      <c r="E10" s="13">
        <v>200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2300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760.48</v>
      </c>
    </row>
    <row r="13" spans="1:13" x14ac:dyDescent="0.2">
      <c r="L13" s="16" t="s">
        <v>44</v>
      </c>
      <c r="M13" s="38">
        <f>D28</f>
        <v>88.67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235.51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80.34</v>
      </c>
      <c r="J15" s="18">
        <f>H15-I15</f>
        <v>-10.340000000000003</v>
      </c>
      <c r="L15" s="16" t="s">
        <v>52</v>
      </c>
      <c r="M15" s="38">
        <f>D34</f>
        <v>290.76</v>
      </c>
    </row>
    <row r="16" spans="1:13" x14ac:dyDescent="0.2">
      <c r="B16" s="16" t="s">
        <v>53</v>
      </c>
      <c r="C16" s="17">
        <v>20</v>
      </c>
      <c r="D16" s="17">
        <v>20.66</v>
      </c>
      <c r="E16" s="18">
        <f t="shared" si="0"/>
        <v>-0.66000000000000014</v>
      </c>
      <c r="G16" s="16" t="s">
        <v>54</v>
      </c>
      <c r="H16" s="17">
        <v>70</v>
      </c>
      <c r="I16" s="17">
        <v>94.37</v>
      </c>
      <c r="J16" s="18">
        <f>H16-I16</f>
        <v>-24.370000000000005</v>
      </c>
      <c r="L16" s="16" t="s">
        <v>48</v>
      </c>
      <c r="M16" s="38">
        <f>I19</f>
        <v>174.71</v>
      </c>
    </row>
    <row r="17" spans="2:13" x14ac:dyDescent="0.2">
      <c r="B17" s="16" t="s">
        <v>55</v>
      </c>
      <c r="C17" s="17">
        <v>50</v>
      </c>
      <c r="D17" s="17">
        <v>42.33</v>
      </c>
      <c r="E17" s="18">
        <f t="shared" si="0"/>
        <v>7.6700000000000017</v>
      </c>
      <c r="G17" s="16" t="s">
        <v>56</v>
      </c>
      <c r="H17" s="17">
        <v>0</v>
      </c>
      <c r="I17" s="17">
        <v>0</v>
      </c>
      <c r="J17" s="18">
        <f>H17-I17</f>
        <v>0</v>
      </c>
      <c r="L17" s="16" t="s">
        <v>57</v>
      </c>
      <c r="M17" s="35">
        <f>I27</f>
        <v>360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174.71</v>
      </c>
      <c r="J19" s="22">
        <f>SUM(J15:J18)</f>
        <v>-34.710000000000008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290.76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760.48</v>
      </c>
      <c r="E22" s="31">
        <f>SUM(E15:E21)</f>
        <v>7.0100000000000016</v>
      </c>
      <c r="G22" s="33" t="s">
        <v>68</v>
      </c>
      <c r="H22" s="33">
        <v>50</v>
      </c>
      <c r="I22" s="33">
        <v>0</v>
      </c>
      <c r="J22" s="34">
        <f>H22-I22</f>
        <v>50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0</v>
      </c>
      <c r="J24" s="34">
        <f>H24-I24</f>
        <v>10</v>
      </c>
    </row>
    <row r="25" spans="2:13" x14ac:dyDescent="0.2">
      <c r="B25" s="16" t="s">
        <v>71</v>
      </c>
      <c r="C25" s="17">
        <v>80</v>
      </c>
      <c r="D25" s="17">
        <v>78.67</v>
      </c>
      <c r="E25" s="18">
        <f>C25-D25</f>
        <v>1.3299999999999983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0</v>
      </c>
      <c r="E26" s="18">
        <f>C26-D26</f>
        <v>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10</v>
      </c>
      <c r="E27" s="26">
        <f>C27-D27</f>
        <v>-10</v>
      </c>
      <c r="G27" s="21" t="s">
        <v>61</v>
      </c>
      <c r="H27" s="28">
        <f>SUM(H22:H26)</f>
        <v>420</v>
      </c>
      <c r="I27" s="28">
        <f>SUM(I22:I26)</f>
        <v>360</v>
      </c>
      <c r="J27" s="32">
        <f>SUM(J22:J26)</f>
        <v>60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88.67</v>
      </c>
      <c r="E28" s="31">
        <f>SUM(E25:E27)</f>
        <v>-8.6700000000000017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235.51</v>
      </c>
      <c r="E31" s="18">
        <f>C31-D31</f>
        <v>14.490000000000009</v>
      </c>
      <c r="G31" s="72" t="s">
        <v>78</v>
      </c>
      <c r="H31" s="73"/>
      <c r="I31" s="74"/>
      <c r="J31" s="81">
        <f>SUM(D22+D28+D31+D34+I27+I19)</f>
        <v>1910.1299999999999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57.360000000000127</v>
      </c>
    </row>
    <row r="34" spans="2:10" x14ac:dyDescent="0.2">
      <c r="B34" s="16" t="s">
        <v>81</v>
      </c>
      <c r="C34" s="17">
        <v>310</v>
      </c>
      <c r="D34" s="17">
        <v>290.76</v>
      </c>
      <c r="E34" s="18">
        <f>C34-D34</f>
        <v>19.240000000000009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M34"/>
  <sheetViews>
    <sheetView topLeftCell="A6" workbookViewId="0">
      <selection activeCell="E9" sqref="E9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492.48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359.97</v>
      </c>
    </row>
    <row r="10" spans="1:13" x14ac:dyDescent="0.2">
      <c r="B10" s="71"/>
      <c r="C10" s="65" t="s">
        <v>33</v>
      </c>
      <c r="D10" s="49"/>
      <c r="E10" s="13">
        <v>150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2250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765.49</v>
      </c>
    </row>
    <row r="13" spans="1:13" x14ac:dyDescent="0.2">
      <c r="L13" s="16" t="s">
        <v>44</v>
      </c>
      <c r="M13" s="38">
        <f>D28</f>
        <v>135.19999999999999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229.8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88.45</v>
      </c>
      <c r="J15" s="18">
        <f>H15-I15</f>
        <v>-18.450000000000003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19.309999999999999</v>
      </c>
      <c r="E16" s="18">
        <f t="shared" si="0"/>
        <v>0.69000000000000128</v>
      </c>
      <c r="G16" s="16" t="s">
        <v>54</v>
      </c>
      <c r="H16" s="17">
        <v>70</v>
      </c>
      <c r="I16" s="17">
        <v>53.58</v>
      </c>
      <c r="J16" s="18">
        <f>H16-I16</f>
        <v>16.420000000000002</v>
      </c>
      <c r="L16" s="16" t="s">
        <v>48</v>
      </c>
      <c r="M16" s="38">
        <f>I19</f>
        <v>217.03</v>
      </c>
    </row>
    <row r="17" spans="2:13" x14ac:dyDescent="0.2">
      <c r="B17" s="16" t="s">
        <v>55</v>
      </c>
      <c r="C17" s="17">
        <v>50</v>
      </c>
      <c r="D17" s="17">
        <v>48.69</v>
      </c>
      <c r="E17" s="18">
        <f t="shared" si="0"/>
        <v>1.3100000000000023</v>
      </c>
      <c r="G17" s="16" t="s">
        <v>56</v>
      </c>
      <c r="H17" s="17">
        <v>0</v>
      </c>
      <c r="I17" s="17">
        <v>0</v>
      </c>
      <c r="J17" s="18">
        <f>H17-I17</f>
        <v>0</v>
      </c>
      <c r="L17" s="16" t="s">
        <v>57</v>
      </c>
      <c r="M17" s="35">
        <f>I27</f>
        <v>410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75</v>
      </c>
      <c r="J18" s="18">
        <f>H18-I18</f>
        <v>-75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217.03</v>
      </c>
      <c r="J19" s="31">
        <f>SUM(J15:J18)</f>
        <v>-77.03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765.49</v>
      </c>
      <c r="E22" s="31">
        <f>SUM(E15:E21)</f>
        <v>2.0000000000000036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0</v>
      </c>
      <c r="J24" s="34">
        <f>H24-I24</f>
        <v>10</v>
      </c>
    </row>
    <row r="25" spans="2:13" x14ac:dyDescent="0.2">
      <c r="B25" s="16" t="s">
        <v>71</v>
      </c>
      <c r="C25" s="17">
        <v>80</v>
      </c>
      <c r="D25" s="17">
        <v>95.2</v>
      </c>
      <c r="E25" s="18">
        <f>C25-D25</f>
        <v>-15.200000000000003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40</v>
      </c>
      <c r="E26" s="18">
        <f>C26-D26</f>
        <v>-40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410</v>
      </c>
      <c r="J27" s="32">
        <f>SUM(J22:J26)</f>
        <v>10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135.19999999999999</v>
      </c>
      <c r="E28" s="31">
        <f>SUM(E25:E27)</f>
        <v>-55.2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229.8</v>
      </c>
      <c r="E31" s="18">
        <f>C31-D31</f>
        <v>20.199999999999989</v>
      </c>
      <c r="G31" s="72" t="s">
        <v>78</v>
      </c>
      <c r="H31" s="73"/>
      <c r="I31" s="74"/>
      <c r="J31" s="81">
        <f>SUM(D22+D28+D31+D34+I27+I19)</f>
        <v>1757.52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209.97000000000003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M34"/>
  <sheetViews>
    <sheetView topLeftCell="A7" workbookViewId="0">
      <selection activeCell="L27" sqref="L27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654.13000000000011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521.62000000000012</v>
      </c>
    </row>
    <row r="10" spans="1:13" x14ac:dyDescent="0.2">
      <c r="B10" s="71"/>
      <c r="C10" s="65" t="s">
        <v>33</v>
      </c>
      <c r="D10" s="49"/>
      <c r="E10" s="13">
        <v>150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2250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755.99</v>
      </c>
    </row>
    <row r="13" spans="1:13" x14ac:dyDescent="0.2">
      <c r="L13" s="16" t="s">
        <v>44</v>
      </c>
      <c r="M13" s="38">
        <f>D28</f>
        <v>80.77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300.79000000000002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49.99</v>
      </c>
      <c r="J15" s="18">
        <f>H15-I15</f>
        <v>20.009999999999998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19.260000000000002</v>
      </c>
      <c r="E16" s="18">
        <f t="shared" si="0"/>
        <v>0.73999999999999844</v>
      </c>
      <c r="G16" s="16" t="s">
        <v>54</v>
      </c>
      <c r="H16" s="17">
        <v>70</v>
      </c>
      <c r="I16" s="17">
        <v>93.33</v>
      </c>
      <c r="J16" s="18">
        <f>H16-I16</f>
        <v>-23.33</v>
      </c>
      <c r="L16" s="16" t="s">
        <v>48</v>
      </c>
      <c r="M16" s="38">
        <f>I19</f>
        <v>188.32</v>
      </c>
    </row>
    <row r="17" spans="2:13" x14ac:dyDescent="0.2">
      <c r="B17" s="16" t="s">
        <v>55</v>
      </c>
      <c r="C17" s="17">
        <v>50</v>
      </c>
      <c r="D17" s="17">
        <v>39.24</v>
      </c>
      <c r="E17" s="18">
        <f t="shared" si="0"/>
        <v>10.759999999999998</v>
      </c>
      <c r="G17" s="16" t="s">
        <v>56</v>
      </c>
      <c r="H17" s="17">
        <v>0</v>
      </c>
      <c r="I17" s="17">
        <v>45</v>
      </c>
      <c r="J17" s="18">
        <f>H17-I17</f>
        <v>-45</v>
      </c>
      <c r="L17" s="16" t="s">
        <v>57</v>
      </c>
      <c r="M17" s="35">
        <f>I27</f>
        <v>270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188.32</v>
      </c>
      <c r="J19" s="31">
        <f>SUM(J15:J18)</f>
        <v>-48.32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755.99</v>
      </c>
      <c r="E22" s="31">
        <f>SUM(E15:E21)</f>
        <v>11.499999999999996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80.77</v>
      </c>
      <c r="E25" s="18">
        <f>C25-D25</f>
        <v>-0.76999999999999602</v>
      </c>
      <c r="G25" s="35" t="s">
        <v>72</v>
      </c>
      <c r="H25" s="35">
        <v>150</v>
      </c>
      <c r="I25" s="35">
        <v>0</v>
      </c>
      <c r="J25" s="34">
        <f>H25-I25</f>
        <v>150</v>
      </c>
    </row>
    <row r="26" spans="2:13" ht="17" customHeight="1" thickBot="1" x14ac:dyDescent="0.25">
      <c r="B26" s="16" t="s">
        <v>73</v>
      </c>
      <c r="C26" s="17">
        <v>0</v>
      </c>
      <c r="D26" s="17">
        <v>0</v>
      </c>
      <c r="E26" s="18">
        <f>C26-D26</f>
        <v>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270</v>
      </c>
      <c r="J27" s="32">
        <f>SUM(J22:J26)</f>
        <v>150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80.77</v>
      </c>
      <c r="E28" s="31">
        <f>SUM(E25:E27)</f>
        <v>-0.76999999999999602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300.79000000000002</v>
      </c>
      <c r="E31" s="18">
        <f>C31-D31</f>
        <v>-50.79000000000002</v>
      </c>
      <c r="G31" s="72" t="s">
        <v>78</v>
      </c>
      <c r="H31" s="73"/>
      <c r="I31" s="74"/>
      <c r="J31" s="81">
        <f>SUM(D22+D28+D31+D34+I27+I19)</f>
        <v>1595.87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371.62000000000012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M34"/>
  <sheetViews>
    <sheetView topLeftCell="A4" workbookViewId="0">
      <selection activeCell="D34" sqref="D34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370.67000000000007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238.16000000000008</v>
      </c>
    </row>
    <row r="10" spans="1:13" x14ac:dyDescent="0.2">
      <c r="B10" s="71"/>
      <c r="C10" s="65" t="s">
        <v>33</v>
      </c>
      <c r="D10" s="49"/>
      <c r="E10" s="13">
        <v>200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2300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762.31</v>
      </c>
    </row>
    <row r="13" spans="1:13" x14ac:dyDescent="0.2">
      <c r="L13" s="16" t="s">
        <v>44</v>
      </c>
      <c r="M13" s="38">
        <f>D28</f>
        <v>105.86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229.99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87.96</v>
      </c>
      <c r="J15" s="18">
        <f>H15-I15</f>
        <v>-17.959999999999994</v>
      </c>
      <c r="L15" s="16" t="s">
        <v>52</v>
      </c>
      <c r="M15" s="38">
        <f>D34</f>
        <v>310</v>
      </c>
    </row>
    <row r="16" spans="1:13" x14ac:dyDescent="0.2">
      <c r="B16" s="16" t="s">
        <v>53</v>
      </c>
      <c r="C16" s="17">
        <v>20</v>
      </c>
      <c r="D16" s="17">
        <v>20.51</v>
      </c>
      <c r="E16" s="18">
        <f t="shared" si="0"/>
        <v>-0.51000000000000156</v>
      </c>
      <c r="G16" s="16" t="s">
        <v>54</v>
      </c>
      <c r="H16" s="17">
        <v>70</v>
      </c>
      <c r="I16" s="17">
        <v>78.209999999999994</v>
      </c>
      <c r="J16" s="18">
        <f>H16-I16</f>
        <v>-8.2099999999999937</v>
      </c>
      <c r="L16" s="16" t="s">
        <v>48</v>
      </c>
      <c r="M16" s="38">
        <f>I19</f>
        <v>181.17</v>
      </c>
    </row>
    <row r="17" spans="2:13" x14ac:dyDescent="0.2">
      <c r="B17" s="16" t="s">
        <v>55</v>
      </c>
      <c r="C17" s="17">
        <v>50</v>
      </c>
      <c r="D17" s="17">
        <v>44.31</v>
      </c>
      <c r="E17" s="18">
        <f t="shared" si="0"/>
        <v>5.6899999999999977</v>
      </c>
      <c r="G17" s="16" t="s">
        <v>56</v>
      </c>
      <c r="H17" s="17">
        <v>0</v>
      </c>
      <c r="I17" s="17">
        <v>15</v>
      </c>
      <c r="J17" s="18">
        <f>H17-I17</f>
        <v>-15</v>
      </c>
      <c r="L17" s="16" t="s">
        <v>57</v>
      </c>
      <c r="M17" s="35">
        <f>I27</f>
        <v>340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181.17</v>
      </c>
      <c r="J19" s="31">
        <f>SUM(J15:J18)</f>
        <v>-41.169999999999987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310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762.31</v>
      </c>
      <c r="E22" s="31">
        <f>SUM(E15:E21)</f>
        <v>5.1799999999999962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65.86</v>
      </c>
      <c r="E25" s="18">
        <f>C25-D25</f>
        <v>14.14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40</v>
      </c>
      <c r="E26" s="18">
        <f>C26-D26</f>
        <v>-40</v>
      </c>
      <c r="G26" s="36" t="s">
        <v>74</v>
      </c>
      <c r="H26" s="36">
        <v>80</v>
      </c>
      <c r="I26" s="36">
        <v>0</v>
      </c>
      <c r="J26" s="37">
        <f>H26-I26</f>
        <v>80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340</v>
      </c>
      <c r="J27" s="32">
        <f>SUM(J22:J26)</f>
        <v>80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105.86</v>
      </c>
      <c r="E28" s="31">
        <f>SUM(E25:E27)</f>
        <v>-25.86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229.99</v>
      </c>
      <c r="E31" s="18">
        <f>C31-D31</f>
        <v>20.009999999999991</v>
      </c>
      <c r="G31" s="72" t="s">
        <v>78</v>
      </c>
      <c r="H31" s="73"/>
      <c r="I31" s="74"/>
      <c r="J31" s="81">
        <f>SUM(D22+D28+D31+D34+I27+I19)</f>
        <v>1929.33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38.160000000000082</v>
      </c>
    </row>
    <row r="34" spans="2:10" x14ac:dyDescent="0.2">
      <c r="B34" s="16" t="s">
        <v>81</v>
      </c>
      <c r="C34" s="17">
        <v>310</v>
      </c>
      <c r="D34" s="17">
        <v>310</v>
      </c>
      <c r="E34" s="18">
        <f>C34-D34</f>
        <v>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M34"/>
  <sheetViews>
    <sheetView workbookViewId="0">
      <selection activeCell="I14" sqref="I14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501.77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369.26</v>
      </c>
    </row>
    <row r="10" spans="1:13" x14ac:dyDescent="0.2">
      <c r="B10" s="71"/>
      <c r="C10" s="65" t="s">
        <v>33</v>
      </c>
      <c r="D10" s="49"/>
      <c r="E10" s="13">
        <v>100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2200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770.53</v>
      </c>
    </row>
    <row r="13" spans="1:13" x14ac:dyDescent="0.2">
      <c r="L13" s="16" t="s">
        <v>44</v>
      </c>
      <c r="M13" s="38">
        <f>D28</f>
        <v>86.34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232.82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79.12</v>
      </c>
      <c r="J15" s="18">
        <f>H15-I15</f>
        <v>-9.1200000000000045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19.64</v>
      </c>
      <c r="E16" s="18">
        <f t="shared" si="0"/>
        <v>0.35999999999999943</v>
      </c>
      <c r="G16" s="16" t="s">
        <v>54</v>
      </c>
      <c r="H16" s="17">
        <v>70</v>
      </c>
      <c r="I16" s="17">
        <v>89.42</v>
      </c>
      <c r="J16" s="18">
        <f>H16-I16</f>
        <v>-19.420000000000002</v>
      </c>
      <c r="L16" s="16" t="s">
        <v>48</v>
      </c>
      <c r="M16" s="38">
        <f>I19</f>
        <v>268.54000000000002</v>
      </c>
    </row>
    <row r="17" spans="2:13" x14ac:dyDescent="0.2">
      <c r="B17" s="16" t="s">
        <v>55</v>
      </c>
      <c r="C17" s="17">
        <v>50</v>
      </c>
      <c r="D17" s="17">
        <v>53.4</v>
      </c>
      <c r="E17" s="18">
        <f t="shared" si="0"/>
        <v>-3.3999999999999986</v>
      </c>
      <c r="G17" s="16" t="s">
        <v>56</v>
      </c>
      <c r="H17" s="17">
        <v>0</v>
      </c>
      <c r="I17" s="17">
        <v>0</v>
      </c>
      <c r="J17" s="18">
        <f>H17-I17</f>
        <v>0</v>
      </c>
      <c r="L17" s="16" t="s">
        <v>57</v>
      </c>
      <c r="M17" s="35">
        <f>I27</f>
        <v>340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100</v>
      </c>
      <c r="J18" s="18">
        <f>H18-I18</f>
        <v>-100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268.54000000000002</v>
      </c>
      <c r="J19" s="31">
        <f>SUM(J15:J18)</f>
        <v>-128.54000000000002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770.53</v>
      </c>
      <c r="E22" s="31">
        <f>SUM(E15:E21)</f>
        <v>-3.0399999999999991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76.34</v>
      </c>
      <c r="E25" s="18">
        <f>C25-D25</f>
        <v>3.6599999999999966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0</v>
      </c>
      <c r="E26" s="18">
        <f>C26-D26</f>
        <v>0</v>
      </c>
      <c r="G26" s="36" t="s">
        <v>74</v>
      </c>
      <c r="H26" s="36">
        <v>80</v>
      </c>
      <c r="I26" s="36">
        <v>0</v>
      </c>
      <c r="J26" s="37">
        <f>H26-I26</f>
        <v>80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10</v>
      </c>
      <c r="E27" s="26">
        <f>C27-D27</f>
        <v>-10</v>
      </c>
      <c r="G27" s="21" t="s">
        <v>61</v>
      </c>
      <c r="H27" s="28">
        <f>SUM(H22:H26)</f>
        <v>420</v>
      </c>
      <c r="I27" s="28">
        <f>SUM(I22:I26)</f>
        <v>340</v>
      </c>
      <c r="J27" s="32">
        <f>SUM(J22:J26)</f>
        <v>80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86.34</v>
      </c>
      <c r="E28" s="31">
        <f>SUM(E25:E27)</f>
        <v>-6.3400000000000034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232.82</v>
      </c>
      <c r="E31" s="18">
        <f>C31-D31</f>
        <v>17.180000000000007</v>
      </c>
      <c r="G31" s="72" t="s">
        <v>78</v>
      </c>
      <c r="H31" s="73"/>
      <c r="I31" s="74"/>
      <c r="J31" s="81">
        <f>SUM(D22+D28+D31+D34+I27+I19)</f>
        <v>1698.23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269.26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2:M34"/>
  <sheetViews>
    <sheetView topLeftCell="A2" workbookViewId="0">
      <selection activeCell="I27" sqref="I27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489.18000000000006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356.67000000000007</v>
      </c>
    </row>
    <row r="10" spans="1:13" x14ac:dyDescent="0.2">
      <c r="B10" s="71"/>
      <c r="C10" s="65" t="s">
        <v>33</v>
      </c>
      <c r="D10" s="49"/>
      <c r="E10" s="13">
        <v>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2150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778.15</v>
      </c>
    </row>
    <row r="13" spans="1:13" x14ac:dyDescent="0.2">
      <c r="L13" s="16" t="s">
        <v>44</v>
      </c>
      <c r="M13" s="38">
        <f>D28</f>
        <v>106.68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293.52999999999997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50.06</v>
      </c>
      <c r="J15" s="18">
        <f>H15-I15</f>
        <v>19.939999999999998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19.899999999999999</v>
      </c>
      <c r="E16" s="18">
        <f t="shared" si="0"/>
        <v>0.10000000000000142</v>
      </c>
      <c r="G16" s="16" t="s">
        <v>54</v>
      </c>
      <c r="H16" s="17">
        <v>70</v>
      </c>
      <c r="I16" s="17">
        <v>47.4</v>
      </c>
      <c r="J16" s="18">
        <f>H16-I16</f>
        <v>22.6</v>
      </c>
      <c r="L16" s="16" t="s">
        <v>48</v>
      </c>
      <c r="M16" s="38">
        <f>I19</f>
        <v>212.46</v>
      </c>
    </row>
    <row r="17" spans="2:13" x14ac:dyDescent="0.2">
      <c r="B17" s="16" t="s">
        <v>55</v>
      </c>
      <c r="C17" s="17">
        <v>50</v>
      </c>
      <c r="D17" s="17">
        <v>60.76</v>
      </c>
      <c r="E17" s="18">
        <f t="shared" si="0"/>
        <v>-10.759999999999998</v>
      </c>
      <c r="G17" s="16" t="s">
        <v>56</v>
      </c>
      <c r="H17" s="17">
        <v>0</v>
      </c>
      <c r="I17" s="17">
        <v>15</v>
      </c>
      <c r="J17" s="18">
        <f>H17-I17</f>
        <v>-15</v>
      </c>
      <c r="L17" s="16" t="s">
        <v>57</v>
      </c>
      <c r="M17" s="35">
        <f>I27</f>
        <v>270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100</v>
      </c>
      <c r="J18" s="18">
        <f>H18-I18</f>
        <v>-100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212.46</v>
      </c>
      <c r="J19" s="31">
        <f>SUM(J15:J18)</f>
        <v>-72.460000000000008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778.15</v>
      </c>
      <c r="E22" s="31">
        <f>SUM(E15:E21)</f>
        <v>-10.659999999999997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71.680000000000007</v>
      </c>
      <c r="E25" s="18">
        <f>C25-D25</f>
        <v>8.3199999999999932</v>
      </c>
      <c r="G25" s="35" t="s">
        <v>72</v>
      </c>
      <c r="H25" s="35">
        <v>150</v>
      </c>
      <c r="I25" s="35">
        <v>0</v>
      </c>
      <c r="J25" s="34">
        <f>H25-I25</f>
        <v>150</v>
      </c>
    </row>
    <row r="26" spans="2:13" ht="17" customHeight="1" thickBot="1" x14ac:dyDescent="0.25">
      <c r="B26" s="16" t="s">
        <v>73</v>
      </c>
      <c r="C26" s="17">
        <v>0</v>
      </c>
      <c r="D26" s="17">
        <v>15</v>
      </c>
      <c r="E26" s="18">
        <f>C26-D26</f>
        <v>-15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20</v>
      </c>
      <c r="E27" s="26">
        <f>C27-D27</f>
        <v>-20</v>
      </c>
      <c r="G27" s="21" t="s">
        <v>61</v>
      </c>
      <c r="H27" s="28">
        <f>SUM(H22:H26)</f>
        <v>420</v>
      </c>
      <c r="I27" s="28">
        <f>SUM(I22:I26)</f>
        <v>270</v>
      </c>
      <c r="J27" s="32">
        <f>SUM(J22:J26)</f>
        <v>150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106.68</v>
      </c>
      <c r="E28" s="31">
        <f>SUM(E25:E27)</f>
        <v>-26.680000000000007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293.52999999999997</v>
      </c>
      <c r="E31" s="18">
        <f>C31-D31</f>
        <v>-43.529999999999973</v>
      </c>
      <c r="G31" s="72" t="s">
        <v>78</v>
      </c>
      <c r="H31" s="73"/>
      <c r="I31" s="74"/>
      <c r="J31" s="81">
        <f>SUM(D22+D28+D31+D34+I27+I19)</f>
        <v>1660.82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306.67000000000007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2:M34"/>
  <sheetViews>
    <sheetView topLeftCell="A5" workbookViewId="0">
      <selection activeCell="D34" sqref="D34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106.5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-26.009999999999991</v>
      </c>
    </row>
    <row r="10" spans="1:13" x14ac:dyDescent="0.2">
      <c r="B10" s="71"/>
      <c r="C10" s="65" t="s">
        <v>33</v>
      </c>
      <c r="D10" s="49"/>
      <c r="E10" s="13">
        <v>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2150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773.78</v>
      </c>
    </row>
    <row r="13" spans="1:13" x14ac:dyDescent="0.2">
      <c r="L13" s="16" t="s">
        <v>44</v>
      </c>
      <c r="M13" s="38">
        <f>D28</f>
        <v>140.44999999999999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267.02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55.3</v>
      </c>
      <c r="J15" s="18">
        <f>H15-I15</f>
        <v>14.700000000000003</v>
      </c>
      <c r="L15" s="16" t="s">
        <v>52</v>
      </c>
      <c r="M15" s="38">
        <f>D34</f>
        <v>296.95</v>
      </c>
    </row>
    <row r="16" spans="1:13" x14ac:dyDescent="0.2">
      <c r="B16" s="16" t="s">
        <v>53</v>
      </c>
      <c r="C16" s="17">
        <v>20</v>
      </c>
      <c r="D16" s="17">
        <v>19.93</v>
      </c>
      <c r="E16" s="18">
        <f t="shared" si="0"/>
        <v>7.0000000000000284E-2</v>
      </c>
      <c r="G16" s="16" t="s">
        <v>54</v>
      </c>
      <c r="H16" s="17">
        <v>70</v>
      </c>
      <c r="I16" s="17">
        <v>75</v>
      </c>
      <c r="J16" s="18">
        <f>H16-I16</f>
        <v>-5</v>
      </c>
      <c r="L16" s="16" t="s">
        <v>48</v>
      </c>
      <c r="M16" s="38">
        <f>I19</f>
        <v>145.30000000000001</v>
      </c>
    </row>
    <row r="17" spans="2:13" x14ac:dyDescent="0.2">
      <c r="B17" s="16" t="s">
        <v>55</v>
      </c>
      <c r="C17" s="17">
        <v>50</v>
      </c>
      <c r="D17" s="17">
        <v>56.36</v>
      </c>
      <c r="E17" s="18">
        <f t="shared" si="0"/>
        <v>-6.3599999999999994</v>
      </c>
      <c r="G17" s="16" t="s">
        <v>56</v>
      </c>
      <c r="H17" s="17">
        <v>0</v>
      </c>
      <c r="I17" s="17">
        <v>15</v>
      </c>
      <c r="J17" s="18">
        <f>H17-I17</f>
        <v>-15</v>
      </c>
      <c r="L17" s="16" t="s">
        <v>57</v>
      </c>
      <c r="M17" s="35">
        <f>I27</f>
        <v>420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145.30000000000001</v>
      </c>
      <c r="J19" s="31">
        <f>SUM(J15:J18)</f>
        <v>-5.2999999999999972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296.95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773.78</v>
      </c>
      <c r="E22" s="31">
        <f>SUM(E15:E21)</f>
        <v>-6.2899999999999991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90.45</v>
      </c>
      <c r="E25" s="18">
        <f>C25-D25</f>
        <v>-10.450000000000003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40</v>
      </c>
      <c r="E26" s="18">
        <f>C26-D26</f>
        <v>-40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10</v>
      </c>
      <c r="E27" s="26">
        <f>C27-D27</f>
        <v>-10</v>
      </c>
      <c r="G27" s="21" t="s">
        <v>61</v>
      </c>
      <c r="H27" s="28">
        <f>SUM(H22:H26)</f>
        <v>420</v>
      </c>
      <c r="I27" s="28">
        <f>SUM(I22:I26)</f>
        <v>420</v>
      </c>
      <c r="J27" s="32">
        <f>SUM(J22:J26)</f>
        <v>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140.44999999999999</v>
      </c>
      <c r="E28" s="31">
        <f>SUM(E25:E27)</f>
        <v>-60.45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267.02</v>
      </c>
      <c r="E31" s="18">
        <f>C31-D31</f>
        <v>-17.019999999999982</v>
      </c>
      <c r="G31" s="72" t="s">
        <v>78</v>
      </c>
      <c r="H31" s="73"/>
      <c r="I31" s="74"/>
      <c r="J31" s="81">
        <f>SUM(D22+D28+D31+D34+I27+I19)</f>
        <v>2043.5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-76.009999999999991</v>
      </c>
    </row>
    <row r="34" spans="2:10" x14ac:dyDescent="0.2">
      <c r="B34" s="16" t="s">
        <v>81</v>
      </c>
      <c r="C34" s="17">
        <v>310</v>
      </c>
      <c r="D34" s="17">
        <v>296.95</v>
      </c>
      <c r="E34" s="18">
        <f>C34-D34</f>
        <v>13.050000000000011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2:M34"/>
  <sheetViews>
    <sheetView workbookViewId="0">
      <selection activeCell="L27" sqref="L27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394.00999999999976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261.49999999999977</v>
      </c>
    </row>
    <row r="10" spans="1:13" x14ac:dyDescent="0.2">
      <c r="B10" s="71"/>
      <c r="C10" s="65" t="s">
        <v>33</v>
      </c>
      <c r="D10" s="49"/>
      <c r="E10" s="13">
        <v>100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2200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754.35</v>
      </c>
    </row>
    <row r="13" spans="1:13" x14ac:dyDescent="0.2">
      <c r="L13" s="16" t="s">
        <v>44</v>
      </c>
      <c r="M13" s="38">
        <f>D28</f>
        <v>106.75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307.99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75.430000000000007</v>
      </c>
      <c r="J15" s="18">
        <f>H15-I15</f>
        <v>-5.4300000000000068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19.13</v>
      </c>
      <c r="E16" s="18">
        <f t="shared" si="0"/>
        <v>0.87000000000000099</v>
      </c>
      <c r="G16" s="16" t="s">
        <v>54</v>
      </c>
      <c r="H16" s="17">
        <v>70</v>
      </c>
      <c r="I16" s="17">
        <v>46.47</v>
      </c>
      <c r="J16" s="18">
        <f>H16-I16</f>
        <v>23.53</v>
      </c>
      <c r="L16" s="16" t="s">
        <v>48</v>
      </c>
      <c r="M16" s="38">
        <f>I19</f>
        <v>216.9</v>
      </c>
    </row>
    <row r="17" spans="2:13" x14ac:dyDescent="0.2">
      <c r="B17" s="16" t="s">
        <v>55</v>
      </c>
      <c r="C17" s="17">
        <v>50</v>
      </c>
      <c r="D17" s="17">
        <v>37.729999999999997</v>
      </c>
      <c r="E17" s="18">
        <f t="shared" si="0"/>
        <v>12.270000000000003</v>
      </c>
      <c r="G17" s="16" t="s">
        <v>56</v>
      </c>
      <c r="H17" s="17">
        <v>0</v>
      </c>
      <c r="I17" s="17">
        <v>45</v>
      </c>
      <c r="J17" s="18">
        <f>H17-I17</f>
        <v>-45</v>
      </c>
      <c r="L17" s="16" t="s">
        <v>57</v>
      </c>
      <c r="M17" s="35">
        <f>I27</f>
        <v>420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50</v>
      </c>
      <c r="J18" s="18">
        <f>H18-I18</f>
        <v>-50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216.9</v>
      </c>
      <c r="J19" s="31">
        <f>SUM(J15:J18)</f>
        <v>-76.900000000000006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754.35</v>
      </c>
      <c r="E22" s="31">
        <f>SUM(E15:E21)</f>
        <v>13.140000000000004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81.75</v>
      </c>
      <c r="E25" s="18">
        <f>C25-D25</f>
        <v>-1.75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25</v>
      </c>
      <c r="E26" s="18">
        <f>C26-D26</f>
        <v>-25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420</v>
      </c>
      <c r="J27" s="32">
        <f>SUM(J22:J26)</f>
        <v>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106.75</v>
      </c>
      <c r="E28" s="31">
        <f>SUM(E25:E27)</f>
        <v>-26.75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307.99</v>
      </c>
      <c r="E31" s="18">
        <f>C31-D31</f>
        <v>-57.990000000000009</v>
      </c>
      <c r="G31" s="72" t="s">
        <v>78</v>
      </c>
      <c r="H31" s="73"/>
      <c r="I31" s="74"/>
      <c r="J31" s="81">
        <f>SUM(D22+D28+D31+D34+I27+I19)</f>
        <v>1805.9900000000002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161.49999999999977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2:M34"/>
  <sheetViews>
    <sheetView topLeftCell="A4" workbookViewId="0">
      <selection activeCell="D34" sqref="D34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107.25000000000023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-25.259999999999764</v>
      </c>
    </row>
    <row r="10" spans="1:13" x14ac:dyDescent="0.2">
      <c r="B10" s="71"/>
      <c r="C10" s="65" t="s">
        <v>33</v>
      </c>
      <c r="D10" s="49"/>
      <c r="E10" s="13">
        <v>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2150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765.65</v>
      </c>
    </row>
    <row r="13" spans="1:13" x14ac:dyDescent="0.2">
      <c r="L13" s="16" t="s">
        <v>44</v>
      </c>
      <c r="M13" s="38">
        <f>D28</f>
        <v>87.42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224.82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55.27</v>
      </c>
      <c r="J15" s="18">
        <f>H15-I15</f>
        <v>14.729999999999997</v>
      </c>
      <c r="L15" s="16" t="s">
        <v>52</v>
      </c>
      <c r="M15" s="38">
        <f>D34</f>
        <v>289.04000000000002</v>
      </c>
    </row>
    <row r="16" spans="1:13" x14ac:dyDescent="0.2">
      <c r="B16" s="16" t="s">
        <v>53</v>
      </c>
      <c r="C16" s="17">
        <v>20</v>
      </c>
      <c r="D16" s="17">
        <v>20.37</v>
      </c>
      <c r="E16" s="18">
        <f t="shared" si="0"/>
        <v>-0.37000000000000099</v>
      </c>
      <c r="G16" s="16" t="s">
        <v>54</v>
      </c>
      <c r="H16" s="17">
        <v>70</v>
      </c>
      <c r="I16" s="17">
        <v>90.55</v>
      </c>
      <c r="J16" s="18">
        <f>H16-I16</f>
        <v>-20.549999999999997</v>
      </c>
      <c r="L16" s="16" t="s">
        <v>48</v>
      </c>
      <c r="M16" s="38">
        <f>I19</f>
        <v>265.82</v>
      </c>
    </row>
    <row r="17" spans="2:13" x14ac:dyDescent="0.2">
      <c r="B17" s="16" t="s">
        <v>55</v>
      </c>
      <c r="C17" s="17">
        <v>50</v>
      </c>
      <c r="D17" s="17">
        <v>47.79</v>
      </c>
      <c r="E17" s="18">
        <f t="shared" si="0"/>
        <v>2.2100000000000009</v>
      </c>
      <c r="G17" s="16" t="s">
        <v>56</v>
      </c>
      <c r="H17" s="17">
        <v>0</v>
      </c>
      <c r="I17" s="17">
        <v>45</v>
      </c>
      <c r="J17" s="18">
        <f>H17-I17</f>
        <v>-45</v>
      </c>
      <c r="L17" s="16" t="s">
        <v>57</v>
      </c>
      <c r="M17" s="35">
        <f>I27</f>
        <v>410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75</v>
      </c>
      <c r="J18" s="18">
        <f>H18-I18</f>
        <v>-75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265.82</v>
      </c>
      <c r="J19" s="31">
        <f>SUM(J15:J18)</f>
        <v>-125.82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289.04000000000002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765.65</v>
      </c>
      <c r="E22" s="31">
        <f>SUM(E15:E21)</f>
        <v>1.8399999999999999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0</v>
      </c>
      <c r="J24" s="34">
        <f>H24-I24</f>
        <v>10</v>
      </c>
    </row>
    <row r="25" spans="2:13" x14ac:dyDescent="0.2">
      <c r="B25" s="16" t="s">
        <v>71</v>
      </c>
      <c r="C25" s="17">
        <v>80</v>
      </c>
      <c r="D25" s="17">
        <v>87.42</v>
      </c>
      <c r="E25" s="18">
        <f>C25-D25</f>
        <v>-7.4200000000000017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0</v>
      </c>
      <c r="E26" s="18">
        <f>C26-D26</f>
        <v>0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0</v>
      </c>
      <c r="E27" s="26">
        <f>C27-D27</f>
        <v>0</v>
      </c>
      <c r="G27" s="21" t="s">
        <v>61</v>
      </c>
      <c r="H27" s="28">
        <f>SUM(H22:H26)</f>
        <v>420</v>
      </c>
      <c r="I27" s="28">
        <f>SUM(I22:I26)</f>
        <v>410</v>
      </c>
      <c r="J27" s="32">
        <f>SUM(J22:J26)</f>
        <v>10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87.42</v>
      </c>
      <c r="E28" s="31">
        <f>SUM(E25:E27)</f>
        <v>-7.4200000000000017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224.82</v>
      </c>
      <c r="E31" s="18">
        <f>C31-D31</f>
        <v>25.180000000000007</v>
      </c>
      <c r="G31" s="72" t="s">
        <v>78</v>
      </c>
      <c r="H31" s="73"/>
      <c r="I31" s="74"/>
      <c r="J31" s="81">
        <f>SUM(D22+D28+D31+D34+I27+I19)</f>
        <v>2042.7499999999998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-75.259999999999764</v>
      </c>
    </row>
    <row r="34" spans="2:10" x14ac:dyDescent="0.2">
      <c r="B34" s="16" t="s">
        <v>81</v>
      </c>
      <c r="C34" s="17">
        <v>310</v>
      </c>
      <c r="D34" s="17">
        <v>289.04000000000002</v>
      </c>
      <c r="E34" s="18">
        <f>C34-D34</f>
        <v>20.95999999999998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2:M34"/>
  <sheetViews>
    <sheetView topLeftCell="A2" workbookViewId="0">
      <selection activeCell="I27" sqref="I27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589.19000000000005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456.68000000000006</v>
      </c>
    </row>
    <row r="10" spans="1:13" x14ac:dyDescent="0.2">
      <c r="B10" s="71"/>
      <c r="C10" s="65" t="s">
        <v>33</v>
      </c>
      <c r="D10" s="49"/>
      <c r="E10" s="13">
        <v>200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2300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776.82999999999993</v>
      </c>
    </row>
    <row r="13" spans="1:13" x14ac:dyDescent="0.2">
      <c r="L13" s="16" t="s">
        <v>44</v>
      </c>
      <c r="M13" s="38">
        <f>D28</f>
        <v>130.41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225.47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86.01</v>
      </c>
      <c r="J15" s="18">
        <f>H15-I15</f>
        <v>-16.010000000000005</v>
      </c>
      <c r="L15" s="16" t="s">
        <v>52</v>
      </c>
      <c r="M15" s="38">
        <f>D34</f>
        <v>0</v>
      </c>
    </row>
    <row r="16" spans="1:13" x14ac:dyDescent="0.2">
      <c r="B16" s="16" t="s">
        <v>53</v>
      </c>
      <c r="C16" s="17">
        <v>20</v>
      </c>
      <c r="D16" s="17">
        <v>20.56</v>
      </c>
      <c r="E16" s="18">
        <f t="shared" si="0"/>
        <v>-0.55999999999999872</v>
      </c>
      <c r="G16" s="16" t="s">
        <v>54</v>
      </c>
      <c r="H16" s="17">
        <v>70</v>
      </c>
      <c r="I16" s="17">
        <v>42.09</v>
      </c>
      <c r="J16" s="18">
        <f>H16-I16</f>
        <v>27.909999999999997</v>
      </c>
      <c r="L16" s="16" t="s">
        <v>48</v>
      </c>
      <c r="M16" s="38">
        <f>I19</f>
        <v>158.10000000000002</v>
      </c>
    </row>
    <row r="17" spans="2:13" x14ac:dyDescent="0.2">
      <c r="B17" s="16" t="s">
        <v>55</v>
      </c>
      <c r="C17" s="17">
        <v>50</v>
      </c>
      <c r="D17" s="17">
        <v>58.78</v>
      </c>
      <c r="E17" s="18">
        <f t="shared" si="0"/>
        <v>-8.7800000000000011</v>
      </c>
      <c r="G17" s="16" t="s">
        <v>56</v>
      </c>
      <c r="H17" s="17">
        <v>0</v>
      </c>
      <c r="I17" s="17">
        <v>30</v>
      </c>
      <c r="J17" s="18">
        <f>H17-I17</f>
        <v>-30</v>
      </c>
      <c r="L17" s="16" t="s">
        <v>57</v>
      </c>
      <c r="M17" s="35">
        <f>I27</f>
        <v>420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158.10000000000002</v>
      </c>
      <c r="J19" s="31">
        <f>SUM(J15:J18)</f>
        <v>-18.100000000000009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776.82999999999993</v>
      </c>
      <c r="E22" s="31">
        <f>SUM(E15:E21)</f>
        <v>-9.34</v>
      </c>
      <c r="G22" s="33" t="s">
        <v>68</v>
      </c>
      <c r="H22" s="33">
        <v>50</v>
      </c>
      <c r="I22" s="33">
        <v>50</v>
      </c>
      <c r="J22" s="34">
        <f>H22-I22</f>
        <v>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95.41</v>
      </c>
      <c r="E25" s="18">
        <f>C25-D25</f>
        <v>-15.409999999999997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25</v>
      </c>
      <c r="E26" s="18">
        <f>C26-D26</f>
        <v>-25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10</v>
      </c>
      <c r="E27" s="26">
        <f>C27-D27</f>
        <v>-10</v>
      </c>
      <c r="G27" s="21" t="s">
        <v>61</v>
      </c>
      <c r="H27" s="28">
        <f>SUM(H22:H26)</f>
        <v>420</v>
      </c>
      <c r="I27" s="28">
        <f>SUM(I22:I26)</f>
        <v>420</v>
      </c>
      <c r="J27" s="32">
        <f>SUM(J22:J26)</f>
        <v>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130.41</v>
      </c>
      <c r="E28" s="31">
        <f>SUM(E25:E27)</f>
        <v>-50.41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225.47</v>
      </c>
      <c r="E31" s="18">
        <f>C31-D31</f>
        <v>24.53</v>
      </c>
      <c r="G31" s="72" t="s">
        <v>78</v>
      </c>
      <c r="H31" s="73"/>
      <c r="I31" s="74"/>
      <c r="J31" s="81">
        <f>SUM(D22+D28+D31+D34+I27+I19)</f>
        <v>1710.81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256.68000000000006</v>
      </c>
    </row>
    <row r="34" spans="2:10" x14ac:dyDescent="0.2">
      <c r="B34" s="16" t="s">
        <v>81</v>
      </c>
      <c r="C34" s="17">
        <v>310</v>
      </c>
      <c r="D34" s="17">
        <v>0</v>
      </c>
      <c r="E34" s="18">
        <f>C34-D34</f>
        <v>310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2:M34"/>
  <sheetViews>
    <sheetView topLeftCell="A5" workbookViewId="0">
      <selection activeCell="I27" sqref="I27"/>
    </sheetView>
  </sheetViews>
  <sheetFormatPr baseColWidth="10" defaultRowHeight="16" x14ac:dyDescent="0.2"/>
  <cols>
    <col min="1" max="1" width="4.83203125" style="14" customWidth="1"/>
    <col min="2" max="2" width="28.5" style="14" customWidth="1"/>
    <col min="3" max="3" width="15.6640625" style="14" customWidth="1"/>
    <col min="4" max="4" width="12.5" style="14" customWidth="1"/>
    <col min="5" max="5" width="14.6640625" style="14" customWidth="1"/>
    <col min="6" max="6" width="2.6640625" style="14" customWidth="1"/>
    <col min="7" max="7" width="31.83203125" style="14" customWidth="1"/>
    <col min="8" max="8" width="16.5" style="14" customWidth="1"/>
    <col min="9" max="9" width="16.33203125" style="14" customWidth="1"/>
    <col min="10" max="10" width="13.33203125" style="14" customWidth="1"/>
    <col min="11" max="11" width="10.83203125" style="14" customWidth="1"/>
    <col min="12" max="12" width="18" style="14" customWidth="1"/>
    <col min="13" max="13" width="14.83203125" style="14" customWidth="1"/>
    <col min="14" max="14" width="10.83203125" style="14" customWidth="1"/>
    <col min="15" max="16384" width="10.83203125" style="14"/>
  </cols>
  <sheetData>
    <row r="2" spans="1:13" ht="37" customHeight="1" thickBot="1" x14ac:dyDescent="0.35">
      <c r="A2" s="10"/>
      <c r="B2" s="29" t="s">
        <v>29</v>
      </c>
      <c r="C2" s="30"/>
      <c r="D2" s="30"/>
      <c r="E2" s="30"/>
      <c r="F2" s="30"/>
      <c r="G2" s="30"/>
      <c r="H2" s="30"/>
      <c r="I2" s="30"/>
      <c r="J2" s="30"/>
    </row>
    <row r="5" spans="1:13" x14ac:dyDescent="0.2">
      <c r="B5" s="70" t="s">
        <v>30</v>
      </c>
      <c r="C5" s="65" t="s">
        <v>31</v>
      </c>
      <c r="D5" s="49"/>
      <c r="E5" s="11">
        <v>2100</v>
      </c>
      <c r="G5" s="78" t="s">
        <v>32</v>
      </c>
      <c r="H5" s="79"/>
      <c r="I5" s="80"/>
      <c r="J5" s="83">
        <f>E7-J29</f>
        <v>132.51</v>
      </c>
    </row>
    <row r="6" spans="1:13" x14ac:dyDescent="0.2">
      <c r="B6" s="71"/>
      <c r="C6" s="65" t="s">
        <v>33</v>
      </c>
      <c r="D6" s="49"/>
      <c r="E6" s="11">
        <v>0</v>
      </c>
      <c r="G6" s="66" t="s">
        <v>34</v>
      </c>
      <c r="H6" s="67"/>
      <c r="I6" s="68"/>
      <c r="J6" s="53"/>
    </row>
    <row r="7" spans="1:13" x14ac:dyDescent="0.2">
      <c r="B7" s="56"/>
      <c r="C7" s="65" t="s">
        <v>35</v>
      </c>
      <c r="D7" s="49"/>
      <c r="E7" s="11">
        <f>SUM(E5:E6)</f>
        <v>2100</v>
      </c>
      <c r="G7" s="84" t="s">
        <v>36</v>
      </c>
      <c r="H7" s="63"/>
      <c r="I7" s="53"/>
      <c r="J7" s="69">
        <f>E11-J31</f>
        <v>167.02999999999997</v>
      </c>
    </row>
    <row r="8" spans="1:13" x14ac:dyDescent="0.2">
      <c r="G8" s="65" t="s">
        <v>37</v>
      </c>
      <c r="H8" s="48"/>
      <c r="I8" s="49"/>
      <c r="J8" s="56"/>
    </row>
    <row r="9" spans="1:13" x14ac:dyDescent="0.2">
      <c r="B9" s="70" t="s">
        <v>38</v>
      </c>
      <c r="C9" s="65" t="s">
        <v>31</v>
      </c>
      <c r="D9" s="49"/>
      <c r="E9" s="13">
        <v>2100</v>
      </c>
      <c r="G9" s="65" t="s">
        <v>39</v>
      </c>
      <c r="H9" s="48"/>
      <c r="I9" s="49"/>
      <c r="J9" s="69">
        <f>J7-J5</f>
        <v>34.519999999999982</v>
      </c>
    </row>
    <row r="10" spans="1:13" x14ac:dyDescent="0.2">
      <c r="B10" s="71"/>
      <c r="C10" s="65" t="s">
        <v>33</v>
      </c>
      <c r="D10" s="49"/>
      <c r="E10" s="13">
        <v>50</v>
      </c>
      <c r="G10" s="65" t="s">
        <v>40</v>
      </c>
      <c r="H10" s="48"/>
      <c r="I10" s="49"/>
      <c r="J10" s="56"/>
    </row>
    <row r="11" spans="1:13" x14ac:dyDescent="0.2">
      <c r="B11" s="56"/>
      <c r="C11" s="65" t="s">
        <v>35</v>
      </c>
      <c r="D11" s="49"/>
      <c r="E11" s="13">
        <f>SUM(E9:E10)</f>
        <v>2150</v>
      </c>
      <c r="L11" s="15" t="s">
        <v>41</v>
      </c>
      <c r="M11" s="15" t="s">
        <v>42</v>
      </c>
    </row>
    <row r="12" spans="1:13" x14ac:dyDescent="0.2">
      <c r="L12" s="16" t="s">
        <v>43</v>
      </c>
      <c r="M12" s="38">
        <f>D22</f>
        <v>756.7600000000001</v>
      </c>
    </row>
    <row r="13" spans="1:13" x14ac:dyDescent="0.2">
      <c r="L13" s="16" t="s">
        <v>44</v>
      </c>
      <c r="M13" s="38">
        <f>D28</f>
        <v>108.67</v>
      </c>
    </row>
    <row r="14" spans="1:13" x14ac:dyDescent="0.2">
      <c r="B14" s="15" t="s">
        <v>43</v>
      </c>
      <c r="C14" s="15" t="s">
        <v>45</v>
      </c>
      <c r="D14" s="15" t="s">
        <v>46</v>
      </c>
      <c r="E14" s="15" t="s">
        <v>47</v>
      </c>
      <c r="G14" s="15" t="s">
        <v>48</v>
      </c>
      <c r="H14" s="15" t="s">
        <v>45</v>
      </c>
      <c r="I14" s="15" t="s">
        <v>46</v>
      </c>
      <c r="J14" s="15" t="s">
        <v>47</v>
      </c>
      <c r="L14" s="16" t="s">
        <v>49</v>
      </c>
      <c r="M14" s="38">
        <f>D31</f>
        <v>308.72000000000003</v>
      </c>
    </row>
    <row r="15" spans="1:13" x14ac:dyDescent="0.2">
      <c r="B15" s="16" t="s">
        <v>50</v>
      </c>
      <c r="C15" s="17">
        <v>625</v>
      </c>
      <c r="D15" s="17">
        <v>625</v>
      </c>
      <c r="E15" s="18">
        <f t="shared" ref="E15:E21" si="0">C15-D15</f>
        <v>0</v>
      </c>
      <c r="G15" s="16" t="s">
        <v>51</v>
      </c>
      <c r="H15" s="17">
        <v>70</v>
      </c>
      <c r="I15" s="17">
        <v>76.86</v>
      </c>
      <c r="J15" s="18">
        <f>H15-I15</f>
        <v>-6.8599999999999994</v>
      </c>
      <c r="L15" s="16" t="s">
        <v>52</v>
      </c>
      <c r="M15" s="38">
        <f>D34</f>
        <v>310</v>
      </c>
    </row>
    <row r="16" spans="1:13" x14ac:dyDescent="0.2">
      <c r="B16" s="16" t="s">
        <v>53</v>
      </c>
      <c r="C16" s="17">
        <v>20</v>
      </c>
      <c r="D16" s="17">
        <v>19.32</v>
      </c>
      <c r="E16" s="18">
        <f t="shared" si="0"/>
        <v>0.67999999999999972</v>
      </c>
      <c r="G16" s="16" t="s">
        <v>54</v>
      </c>
      <c r="H16" s="17">
        <v>70</v>
      </c>
      <c r="I16" s="17">
        <v>51.96</v>
      </c>
      <c r="J16" s="18">
        <f>H16-I16</f>
        <v>18.04</v>
      </c>
      <c r="L16" s="16" t="s">
        <v>48</v>
      </c>
      <c r="M16" s="38">
        <f>I19</f>
        <v>128.82</v>
      </c>
    </row>
    <row r="17" spans="2:13" x14ac:dyDescent="0.2">
      <c r="B17" s="16" t="s">
        <v>55</v>
      </c>
      <c r="C17" s="17">
        <v>50</v>
      </c>
      <c r="D17" s="17">
        <v>39.950000000000003</v>
      </c>
      <c r="E17" s="18">
        <f t="shared" si="0"/>
        <v>10.049999999999997</v>
      </c>
      <c r="G17" s="16" t="s">
        <v>56</v>
      </c>
      <c r="H17" s="17">
        <v>0</v>
      </c>
      <c r="I17" s="17">
        <v>0</v>
      </c>
      <c r="J17" s="18">
        <f>H17-I17</f>
        <v>0</v>
      </c>
      <c r="L17" s="16" t="s">
        <v>57</v>
      </c>
      <c r="M17" s="35">
        <f>I27</f>
        <v>370</v>
      </c>
    </row>
    <row r="18" spans="2:13" ht="17" customHeight="1" thickBot="1" x14ac:dyDescent="0.25">
      <c r="B18" s="16" t="s">
        <v>58</v>
      </c>
      <c r="C18" s="17">
        <v>20</v>
      </c>
      <c r="D18" s="17">
        <v>20</v>
      </c>
      <c r="E18" s="18">
        <f t="shared" si="0"/>
        <v>0</v>
      </c>
      <c r="G18" s="19" t="s">
        <v>59</v>
      </c>
      <c r="H18" s="20">
        <v>0</v>
      </c>
      <c r="I18" s="20">
        <v>0</v>
      </c>
      <c r="J18" s="18">
        <f>H18-I18</f>
        <v>0</v>
      </c>
    </row>
    <row r="19" spans="2:13" ht="17" customHeight="1" thickTop="1" x14ac:dyDescent="0.2">
      <c r="B19" s="16" t="s">
        <v>60</v>
      </c>
      <c r="C19" s="17">
        <v>12.5</v>
      </c>
      <c r="D19" s="17">
        <v>12.5</v>
      </c>
      <c r="E19" s="18">
        <f t="shared" si="0"/>
        <v>0</v>
      </c>
      <c r="G19" s="21" t="s">
        <v>61</v>
      </c>
      <c r="H19" s="22">
        <f>SUM(H15:H18)</f>
        <v>140</v>
      </c>
      <c r="I19" s="22">
        <f>SUM(I15:I18)</f>
        <v>128.82</v>
      </c>
      <c r="J19" s="31">
        <f>SUM(J15:J18)</f>
        <v>11.18</v>
      </c>
    </row>
    <row r="20" spans="2:13" x14ac:dyDescent="0.2">
      <c r="B20" s="23" t="s">
        <v>62</v>
      </c>
      <c r="C20" s="24">
        <v>37</v>
      </c>
      <c r="D20" s="24">
        <v>37</v>
      </c>
      <c r="E20" s="25">
        <f t="shared" si="0"/>
        <v>0</v>
      </c>
      <c r="L20" s="16" t="s">
        <v>63</v>
      </c>
      <c r="M20" s="16" t="s">
        <v>64</v>
      </c>
    </row>
    <row r="21" spans="2:13" ht="17" customHeight="1" thickBot="1" x14ac:dyDescent="0.25">
      <c r="B21" s="19" t="s">
        <v>65</v>
      </c>
      <c r="C21" s="20">
        <v>2.99</v>
      </c>
      <c r="D21" s="20">
        <v>2.99</v>
      </c>
      <c r="E21" s="26">
        <f t="shared" si="0"/>
        <v>0</v>
      </c>
      <c r="G21" s="27" t="s">
        <v>66</v>
      </c>
      <c r="H21" s="27" t="s">
        <v>67</v>
      </c>
      <c r="I21" s="27" t="s">
        <v>46</v>
      </c>
      <c r="J21" s="27" t="s">
        <v>47</v>
      </c>
      <c r="L21" s="16" t="s">
        <v>52</v>
      </c>
      <c r="M21" s="16">
        <f>_xlfn.XLOOKUP(L21,L12:L17,M12:M17,"nao encontrado")</f>
        <v>310</v>
      </c>
    </row>
    <row r="22" spans="2:13" ht="17" customHeight="1" thickTop="1" x14ac:dyDescent="0.2">
      <c r="B22" s="21" t="s">
        <v>61</v>
      </c>
      <c r="C22" s="22">
        <f>SUM(C15:C21)</f>
        <v>767.49</v>
      </c>
      <c r="D22" s="22">
        <f>SUM(D15:D21)</f>
        <v>756.7600000000001</v>
      </c>
      <c r="E22" s="31">
        <f>SUM(E15:E21)</f>
        <v>10.729999999999997</v>
      </c>
      <c r="G22" s="33" t="s">
        <v>68</v>
      </c>
      <c r="H22" s="33">
        <v>50</v>
      </c>
      <c r="I22" s="33">
        <v>0</v>
      </c>
      <c r="J22" s="34">
        <f>H22-I22</f>
        <v>50</v>
      </c>
    </row>
    <row r="23" spans="2:13" x14ac:dyDescent="0.2">
      <c r="G23" s="33" t="s">
        <v>69</v>
      </c>
      <c r="H23" s="33">
        <v>130</v>
      </c>
      <c r="I23" s="33">
        <v>130</v>
      </c>
      <c r="J23" s="34">
        <f>H23-I23</f>
        <v>0</v>
      </c>
    </row>
    <row r="24" spans="2:13" x14ac:dyDescent="0.2">
      <c r="B24" s="15" t="s">
        <v>44</v>
      </c>
      <c r="C24" s="15" t="s">
        <v>45</v>
      </c>
      <c r="D24" s="15" t="s">
        <v>46</v>
      </c>
      <c r="E24" s="15" t="s">
        <v>47</v>
      </c>
      <c r="G24" s="33" t="s">
        <v>70</v>
      </c>
      <c r="H24" s="33">
        <v>10</v>
      </c>
      <c r="I24" s="33">
        <v>10</v>
      </c>
      <c r="J24" s="34">
        <f>H24-I24</f>
        <v>0</v>
      </c>
    </row>
    <row r="25" spans="2:13" x14ac:dyDescent="0.2">
      <c r="B25" s="16" t="s">
        <v>71</v>
      </c>
      <c r="C25" s="17">
        <v>80</v>
      </c>
      <c r="D25" s="17">
        <v>73.67</v>
      </c>
      <c r="E25" s="18">
        <f>C25-D25</f>
        <v>6.3299999999999983</v>
      </c>
      <c r="G25" s="35" t="s">
        <v>72</v>
      </c>
      <c r="H25" s="35">
        <v>150</v>
      </c>
      <c r="I25" s="35">
        <v>150</v>
      </c>
      <c r="J25" s="34">
        <f>H25-I25</f>
        <v>0</v>
      </c>
    </row>
    <row r="26" spans="2:13" ht="17" customHeight="1" thickBot="1" x14ac:dyDescent="0.25">
      <c r="B26" s="16" t="s">
        <v>73</v>
      </c>
      <c r="C26" s="17">
        <v>0</v>
      </c>
      <c r="D26" s="17">
        <v>25</v>
      </c>
      <c r="E26" s="18">
        <f>C26-D26</f>
        <v>-25</v>
      </c>
      <c r="G26" s="36" t="s">
        <v>74</v>
      </c>
      <c r="H26" s="36">
        <v>80</v>
      </c>
      <c r="I26" s="36">
        <v>80</v>
      </c>
      <c r="J26" s="37">
        <f>H26-I26</f>
        <v>0</v>
      </c>
    </row>
    <row r="27" spans="2:13" ht="18" customHeight="1" thickTop="1" thickBot="1" x14ac:dyDescent="0.25">
      <c r="B27" s="19" t="s">
        <v>56</v>
      </c>
      <c r="C27" s="20">
        <v>0</v>
      </c>
      <c r="D27" s="20">
        <v>10</v>
      </c>
      <c r="E27" s="26">
        <f>C27-D27</f>
        <v>-10</v>
      </c>
      <c r="G27" s="21" t="s">
        <v>61</v>
      </c>
      <c r="H27" s="28">
        <f>SUM(H22:H26)</f>
        <v>420</v>
      </c>
      <c r="I27" s="28">
        <f>SUM(I22:I26)</f>
        <v>370</v>
      </c>
      <c r="J27" s="32">
        <f>SUM(J22:J26)</f>
        <v>50</v>
      </c>
    </row>
    <row r="28" spans="2:13" ht="17" customHeight="1" thickTop="1" x14ac:dyDescent="0.2">
      <c r="B28" s="21" t="s">
        <v>61</v>
      </c>
      <c r="C28" s="22">
        <f>SUM(C25:C27)</f>
        <v>80</v>
      </c>
      <c r="D28" s="22">
        <f>SUM(D25:D27)</f>
        <v>108.67</v>
      </c>
      <c r="E28" s="31">
        <f>SUM(E25:E27)</f>
        <v>-28.67</v>
      </c>
    </row>
    <row r="29" spans="2:13" x14ac:dyDescent="0.2">
      <c r="G29" s="72" t="s">
        <v>75</v>
      </c>
      <c r="H29" s="73"/>
      <c r="I29" s="74"/>
      <c r="J29" s="81">
        <f>SUM(C22+C28+C31+C34+H19+H27)</f>
        <v>1967.49</v>
      </c>
    </row>
    <row r="30" spans="2:13" x14ac:dyDescent="0.2">
      <c r="B30" s="15" t="s">
        <v>76</v>
      </c>
      <c r="C30" s="15" t="s">
        <v>45</v>
      </c>
      <c r="D30" s="15" t="s">
        <v>46</v>
      </c>
      <c r="E30" s="15" t="s">
        <v>47</v>
      </c>
      <c r="G30" s="75"/>
      <c r="H30" s="76"/>
      <c r="I30" s="77"/>
      <c r="J30" s="82"/>
    </row>
    <row r="31" spans="2:13" x14ac:dyDescent="0.2">
      <c r="B31" s="16" t="s">
        <v>77</v>
      </c>
      <c r="C31" s="17">
        <v>250</v>
      </c>
      <c r="D31" s="17">
        <v>308.72000000000003</v>
      </c>
      <c r="E31" s="18">
        <f>C31-D31</f>
        <v>-58.720000000000027</v>
      </c>
      <c r="G31" s="72" t="s">
        <v>78</v>
      </c>
      <c r="H31" s="73"/>
      <c r="I31" s="74"/>
      <c r="J31" s="81">
        <f>SUM(D22+D28+D31+D34+I27+I19)</f>
        <v>1982.97</v>
      </c>
    </row>
    <row r="32" spans="2:13" x14ac:dyDescent="0.2">
      <c r="G32" s="75"/>
      <c r="H32" s="76"/>
      <c r="I32" s="77"/>
      <c r="J32" s="82"/>
    </row>
    <row r="33" spans="2:10" x14ac:dyDescent="0.2">
      <c r="B33" s="15" t="s">
        <v>79</v>
      </c>
      <c r="C33" s="15" t="s">
        <v>45</v>
      </c>
      <c r="D33" s="15" t="s">
        <v>46</v>
      </c>
      <c r="E33" s="15" t="s">
        <v>47</v>
      </c>
      <c r="G33" s="72" t="s">
        <v>80</v>
      </c>
      <c r="H33" s="73"/>
      <c r="I33" s="74"/>
      <c r="J33" s="81">
        <f>J29-J31</f>
        <v>-15.480000000000018</v>
      </c>
    </row>
    <row r="34" spans="2:10" x14ac:dyDescent="0.2">
      <c r="B34" s="16" t="s">
        <v>81</v>
      </c>
      <c r="C34" s="17">
        <v>310</v>
      </c>
      <c r="D34" s="17">
        <v>310</v>
      </c>
      <c r="E34" s="18">
        <f>C34-D34</f>
        <v>0</v>
      </c>
      <c r="G34" s="75"/>
      <c r="H34" s="76"/>
      <c r="I34" s="77"/>
      <c r="J34" s="82"/>
    </row>
  </sheetData>
  <mergeCells count="23">
    <mergeCell ref="J31:J32"/>
    <mergeCell ref="C7:D7"/>
    <mergeCell ref="J5:J6"/>
    <mergeCell ref="G29:I30"/>
    <mergeCell ref="J33:J34"/>
    <mergeCell ref="G8:I8"/>
    <mergeCell ref="J29:J30"/>
    <mergeCell ref="G33:I34"/>
    <mergeCell ref="G7:I7"/>
    <mergeCell ref="B5:B7"/>
    <mergeCell ref="G31:I32"/>
    <mergeCell ref="C10:D10"/>
    <mergeCell ref="G5:I5"/>
    <mergeCell ref="C9:D9"/>
    <mergeCell ref="C11:D11"/>
    <mergeCell ref="G9:I9"/>
    <mergeCell ref="B9:B11"/>
    <mergeCell ref="C6:D6"/>
    <mergeCell ref="G10:I10"/>
    <mergeCell ref="G6:I6"/>
    <mergeCell ref="J9:J10"/>
    <mergeCell ref="C5:D5"/>
    <mergeCell ref="J7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Fechamentos do ano</vt:lpstr>
      <vt:lpstr>JANEIRO</vt:lpstr>
      <vt:lpstr>FEVEREIRO</vt:lpstr>
      <vt:lpstr>MARÇ0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Rosa Barp</dc:creator>
  <cp:lastModifiedBy>Rafael Da Rosa Barp</cp:lastModifiedBy>
  <dcterms:created xsi:type="dcterms:W3CDTF">2025-09-25T17:22:47Z</dcterms:created>
  <dcterms:modified xsi:type="dcterms:W3CDTF">2026-02-19T15:48:21Z</dcterms:modified>
</cp:coreProperties>
</file>